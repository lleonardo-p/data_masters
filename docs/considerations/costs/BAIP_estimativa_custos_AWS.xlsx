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38f442b27948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db84abb57f954bc1"/>
    <x:sheet xmlns:r="http://schemas.openxmlformats.org/officeDocument/2006/relationships" name="Premissas" sheetId="2" r:id="R73162b0739b74e5c"/>
    <x:sheet xmlns:r="http://schemas.openxmlformats.org/officeDocument/2006/relationships" name="Batch Backfill" sheetId="3" r:id="R575a799127424e15"/>
    <x:sheet xmlns:r="http://schemas.openxmlformats.org/officeDocument/2006/relationships" name="Batch Diário" sheetId="4" r:id="Rcae0b61098324b99"/>
    <x:sheet xmlns:r="http://schemas.openxmlformats.org/officeDocument/2006/relationships" name="NRT Cenários" sheetId="5" r:id="Rbd942f73dd504530"/>
    <x:sheet xmlns:r="http://schemas.openxmlformats.org/officeDocument/2006/relationships" name="Inventário" sheetId="6" r:id="R0912f528ae92444c"/>
    <x:sheet xmlns:r="http://schemas.openxmlformats.org/officeDocument/2006/relationships" name="Validações" sheetId="7" r:id="R4363cbe91afa459b"/>
    <x:sheet xmlns:r="http://schemas.openxmlformats.org/officeDocument/2006/relationships" name="Fontes" sheetId="8" r:id="R157ce16517844b3e"/>
  </x:sheets>
</x:workbook>
</file>

<file path=xl/comments1.xml><?xml version="1.0" encoding="utf-8"?>
<x:comments xmlns:x="http://schemas.openxmlformats.org/spreadsheetml/2006/main">
  <x:authors>
    <x:author>tc={C439F175-2637-754A-9813-72CF4135F547}</x:author>
    <x:author>tc={6C8E83D3-EF70-3519-747A-A74AF0CABF9B}</x:author>
    <x:author>tc={F4DFFC04-6C69-A8A7-B12F-8376306A8AAA}</x:author>
    <x:author>tc={61198D6C-FD79-B046-3093-72CB8A21BE57}</x:author>
    <x:author>tc={801F18EB-6D80-9DF9-3F72-3325B0933AAC}</x:author>
    <x:author>tc={94C7179D-000D-29C9-6F92-BEF7F1C82ECF}</x:author>
    <x:author>tc={806DF853-112F-9493-1737-D4E997D71382}</x:author>
    <x:author>tc={5693352F-99C0-FE4F-A889-FC31BFACED0D}</x:author>
    <x:author>tc={3C119570-38BC-4E60-4B40-E85D79C135C4}</x:author>
    <x:author>tc={5D0FD42A-3213-2305-E542-CE918D93F13C}</x:author>
    <x:author>tc={897D0FA5-406A-E91E-20FE-006A4D4D1AD4}</x:author>
    <x:author>tc={93A31124-2009-FC31-CF90-3E6DDF85EB01}</x:author>
    <x:author>tc={C57191FB-87E8-D430-7537-37D9F5F7FAA1}</x:author>
    <x:author>tc={31CCA25A-ED94-4803-20C4-CE2DE8675BDE}</x:author>
    <x:author>tc={A108B7E0-9644-4258-2F2A-8F5B7C0DB977}</x:author>
    <x:author>tc={B821AAA0-FC04-7FF4-4EE0-9E6AFAAF5E10}</x:author>
    <x:author>tc={D6357D32-F723-94A9-5238-F6A42B63FACC}</x:author>
    <x:author>tc={CD4E29C1-0116-AACC-B690-5DEF2DF7DA6A}</x:author>
    <x:author>tc={8E166A1D-35D2-A6F1-8A9B-996D31F4D916}</x:author>
    <x:author>tc={FB712219-DB6D-5D22-F207-F04E4506EDFE}</x:author>
    <x:author>tc={D478D61E-704B-11F5-A16D-804E5B9364FD}</x:author>
    <x:author>tc={675806BC-551B-81FE-0B3C-62C4472E379E}</x:author>
    <x:author>tc={8A680988-1023-C981-6395-927A8F5FCF3E}</x:author>
    <x:author>tc={27900E44-66C5-39CE-151C-CB8EF566DEFB}</x:author>
    <x:author>tc={8686F1CF-B5A0-8C80-153B-51ABA766ECD1}</x:author>
  </x:authors>
  <x:commentList>
    <x:comment ref="B7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Fonte: https://aws.amazon.com/s3/pricing/
Armazenamento S3 Standard.
Acesso: 2026-08-06</x:t>
        </x:r>
      </x:text>
    </x:comment>
    <x:comment ref="B8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Fonte: https://aws.amazon.com/s3/pricing/
Solicitações PUT/COPY/POST/LIST.
Acesso: 2026-08-06</x:t>
        </x:r>
      </x:text>
    </x:comment>
    <x:comment ref="B9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Fonte: https://aws.amazon.com/s3/pricing/
Solicitações GET.
Acesso: 2026-08-06</x:t>
        </x:r>
      </x:text>
    </x:comment>
    <x:comment ref="B10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Fonte: https://aws.amazon.com/glue/pricing/
Glue ETL e Crawler por DPU-hora.
Acesso: 2026-08-06</x:t>
        </x:r>
      </x:text>
    </x:comment>
    <x:comment ref="B1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Fonte: https://aws.amazon.com/athena/pricing/
Athena por TB lido.
Acesso: 2026-08-06</x:t>
        </x:r>
      </x:text>
    </x:comment>
    <x:comment ref="B12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Fonte: https://aws.amazon.com/lambda/pricing/
Lambda ARM por GB-segundo.
Acesso: 2026-08-06</x:t>
        </x:r>
      </x:text>
    </x:comment>
    <x:comment ref="B13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Fonte: https://aws.amazon.com/lambda/pricing/
Solicitações Lambda.
Acesso: 2026-08-06</x:t>
        </x:r>
      </x:text>
    </x:comment>
    <x:comment ref="B14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Fonte: https://aws.amazon.com/step-functions/pricing/
Workflows Standard por transição.
Acesso: 2026-08-06</x:t>
        </x:r>
      </x:text>
    </x:comment>
    <x:comment ref="B15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Fonte: https://aws.amazon.com/secrets-manager/pricing/
Segredo por mês.
Acesso: 2026-08-06</x:t>
        </x:r>
      </x:text>
    </x:comment>
    <x:comment ref="B16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Fonte: https://aws.amazon.com/secrets-manager/pricing/
Chamadas à API do Secrets Manager.
Acesso: 2026-08-06</x:t>
        </x:r>
      </x:text>
    </x:comment>
    <x:comment ref="B17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Fonte: https://aws.amazon.com/cloudwatch/pricing/
Ingestão de CloudWatch Logs.
Acesso: 2026-08-06</x:t>
        </x:r>
      </x:text>
    </x:comment>
    <x:comment ref="B18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Fonte: https://aws.amazon.com/cloudwatch/pricing/
Retenção de logs.
Acesso: 2026-08-06</x:t>
        </x:r>
      </x:text>
    </x:comment>
    <x:comment ref="B19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Fonte: https://aws.amazon.com/cloudwatch/pricing/
Alarmes padrão.
Acesso: 2026-08-06</x:t>
        </x:r>
      </x:text>
    </x:comment>
    <x:comment ref="B20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Fonte: https://aws.amazon.com/cloudwatch/pricing/
Métricas detalhadas/customizadas.
Acesso: 2026-08-06</x:t>
        </x:r>
      </x:text>
    </x:comment>
    <x:comment ref="B21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Fonte: https://aws.amazon.com/sqs/pricing/
Solicitações SQS Standard.
Acesso: 2026-08-06</x:t>
        </x:r>
      </x:text>
    </x:comment>
    <x:comment ref="B22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Fonte: https://aws.amazon.com/dynamodb/pricing/
WRU on-demand.
Acesso: 2026-08-06</x:t>
        </x:r>
      </x:text>
    </x:comment>
    <x:comment ref="B23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Fonte: https://aws.amazon.com/dynamodb/pricing/
RRU on-demand.
Acesso: 2026-08-06</x:t>
        </x:r>
      </x:text>
    </x:comment>
    <x:comment ref="B24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Fonte: https://aws.amazon.com/dynamodb/pricing/
Armazenamento de tabelas.
Acesso: 2026-08-06</x:t>
        </x:r>
      </x:text>
    </x:comment>
    <x:comment ref="B25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Fonte: https://docs.aws.amazon.com/amazondynamodb/latest/developerguide/DynamodbDisasterRecoveryStrategy.html
PITR por GB-mês.
Acesso: 2026-08-06</x:t>
        </x:r>
      </x:text>
    </x:comment>
    <x:comment ref="B26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Fonte: https://aws.amazon.com/api-gateway/pricing/
HTTP API por milhão de chamadas.
Acesso: 2026-08-06</x:t>
        </x:r>
      </x:text>
    </x:comment>
    <x:comment ref="B27" authorId="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Fonte: https://aws.amazon.com/kms/pricing/
Chave KMS mensal.
Acesso: 2026-08-06</x:t>
        </x:r>
      </x:text>
    </x:comment>
    <x:comment ref="B28" authorId="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Fonte: https://aws.amazon.com/kms/pricing/
Solicitações KMS.
Acesso: 2026-08-06</x:t>
        </x:r>
      </x:text>
    </x:comment>
    <x:comment ref="B29" authorId="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Fonte: https://aws.amazon.com/sns/pricing/
Publicações SNS.
Acesso: 2026-08-06</x:t>
        </x:r>
      </x:text>
    </x:comment>
    <x:comment ref="B38" authorId="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Fonte: https://github.com/lleonardo-p/data_masters
Reconciliação do backfill registrada na documentação do projeto.
Acesso: 2026-08-06</x:t>
        </x:r>
      </x:text>
    </x:comment>
    <x:comment ref="K6" authorId="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Fonte: https://www.poder360.com.br/saude/brasil-registra-43-134-casos-provaveis-de-dengue-em-1-dia/
Cenário de pico: 43.134 casos prováveis em 24 horas, abril de 2024.
Acesso: 2026-08-06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000000"/>
    <x:numFmt numFmtId="201" formatCode="#,##0.00"/>
    <x:numFmt numFmtId="202" formatCode="0.0%"/>
    <x:numFmt numFmtId="203" formatCode="#,##0.000"/>
    <x:numFmt numFmtId="204" formatCode="$#,##0.00"/>
    <x:numFmt numFmtId="205" formatCode="#,##0"/>
    <x:numFmt numFmtId="206" formatCode="#,##0.000000"/>
  </x:numFmts>
  <x:fonts count="21">
    <x:font>
      <x:sz val="11"/>
      <x:name val="Carlito"/>
    </x:font>
    <x:font>
      <x:b/>
      <x:sz val="20"/>
      <x:color rgb="FFFFFFFF"/>
      <x:name val="Carlito"/>
    </x:font>
    <x:font>
      <x:i/>
      <x:sz val="10"/>
      <x:color rgb="FFE2E8F0"/>
      <x:name val="Carlito"/>
    </x:font>
    <x:font>
      <x:b/>
      <x:sz val="11"/>
      <x:color rgb="FFFFFFFF"/>
      <x:name val="Carlito"/>
    </x:font>
    <x:font>
      <x:b/>
      <x:sz val="11"/>
      <x:color rgb="FF232F3E"/>
      <x:name val="Carlito"/>
    </x:font>
    <x:font>
      <x:sz val="11"/>
      <x:color rgb="FF0000FF"/>
      <x:name val="Carlito"/>
    </x:font>
    <x:font>
      <x:sz val="10"/>
      <x:color rgb="FF111827"/>
      <x:name val="Aptos"/>
    </x:font>
    <x:font>
      <x:b/>
      <x:sz val="10"/>
      <x:color rgb="FF111827"/>
      <x:name val="Aptos"/>
    </x:font>
    <x:font>
      <x:sz val="10"/>
      <x:name val="Aptos"/>
    </x:font>
    <x:font>
      <x:sz val="10"/>
      <x:color rgb="FF008000"/>
      <x:name val="Aptos"/>
    </x:font>
    <x:font>
      <x:b/>
      <x:sz val="11"/>
      <x:color rgb="FF111827"/>
      <x:name val="Carlito"/>
    </x:font>
    <x:font>
      <x:b/>
      <x:sz val="12"/>
      <x:color rgb="FF15803D"/>
      <x:name val="Carlito"/>
    </x:font>
    <x:font>
      <x:sz val="11"/>
      <x:color rgb="FF008000"/>
      <x:name val="Carlito"/>
    </x:font>
    <x:font>
      <x:b/>
      <x:sz val="11"/>
      <x:color rgb="FF008000"/>
      <x:name val="Carlito"/>
    </x:font>
    <x:font>
      <x:b/>
      <x:sz val="11"/>
      <x:name val="Carlito"/>
    </x:font>
    <x:font>
      <x:b/>
      <x:sz val="11"/>
      <x:color rgb="FFB91C1C"/>
      <x:name val="Carlito"/>
    </x:font>
    <x:font>
      <x:b/>
      <x:sz val="10"/>
      <x:color rgb="FFFFFFFF"/>
      <x:name val="Carlito"/>
    </x:font>
    <x:font>
      <x:b/>
      <x:sz val="20"/>
      <x:color rgb="FF232F3E"/>
      <x:name val="Carlito"/>
    </x:font>
    <x:font>
      <x:sz val="10"/>
      <x:color rgb="FF111827"/>
      <x:name val="Carlito"/>
    </x:font>
    <x:font>
      <x:sz val="10"/>
      <x:color rgb="FF232F3E"/>
      <x:name val="Carlito"/>
    </x:font>
    <x:font>
      <x:b/>
      <x:sz val="13"/>
      <x:color rgb="FFFFFFFF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232F3E"/>
      </x:patternFill>
    </x:fill>
    <x:fill>
      <x:patternFill patternType="solid">
        <x:fgColor rgb="FF16232F"/>
      </x:patternFill>
    </x:fill>
    <x:fill>
      <x:patternFill patternType="solid">
        <x:fgColor rgb="FFFF9900"/>
      </x:patternFill>
    </x:fill>
    <x:fill>
      <x:patternFill patternType="solid">
        <x:fgColor rgb="FFFFF7CC"/>
      </x:patternFill>
    </x:fill>
    <x:fill>
      <x:patternFill patternType="solid">
        <x:fgColor rgb="FFF1F5F9"/>
      </x:patternFill>
    </x:fill>
    <x:fill>
      <x:patternFill patternType="solid">
        <x:fgColor rgb="FFDCFCE7"/>
      </x:patternFill>
    </x:fill>
    <x:fill>
      <x:patternFill patternType="solid">
        <x:fgColor rgb="FFFEE2E2"/>
      </x:patternFill>
    </x:fill>
    <x:fill>
      <x:patternFill patternType="solid">
        <x:fgColor rgb="FFDBEAFE"/>
      </x:patternFill>
    </x:fill>
    <x:fill>
      <x:patternFill patternType="solid">
        <x:fgColor rgb="FFFFFFFF"/>
      </x:patternFill>
    </x:fill>
    <x:fill>
      <x:patternFill patternType="solid">
        <x:fgColor rgb="FF2563EB"/>
      </x:patternFill>
    </x:fill>
    <x:fill>
      <x:patternFill patternType="solid">
        <x:fgColor rgb="FFB91C1C"/>
      </x:patternFill>
    </x:fill>
    <x:fill>
      <x:patternFill patternType="solid">
        <x:fgColor rgb="FF15803D"/>
      </x:patternFill>
    </x:fill>
  </x:fills>
  <x:borders count="39"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E5C84B"/>
      </x:left>
      <x:right style="thin">
        <x:color rgb="FFE5C84B"/>
      </x:right>
      <x:top style="thin">
        <x:color rgb="FFE5C84B"/>
      </x:top>
    </x:border>
    <x:border>
      <x:left style="thin">
        <x:color rgb="FFE5C84B"/>
      </x:left>
      <x:right style="thin">
        <x:color rgb="FFE5C84B"/>
      </x:right>
    </x:border>
    <x:border>
      <x:left style="thin">
        <x:color rgb="FFE5C84B"/>
      </x:left>
      <x:right style="thin">
        <x:color rgb="FFE5C84B"/>
      </x:right>
      <x:bottom style="thin">
        <x:color rgb="FFE5C84B"/>
      </x:bottom>
    </x:border>
    <x:border>
      <x:bottom style="thin">
        <x:color rgb="FFE2E8F0"/>
      </x:bottom>
    </x:border>
    <x:border>
      <x:left style="thin">
        <x:color rgb="FFE5C84B"/>
      </x:left>
      <x:right style="thin">
        <x:color rgb="FFE5C84B"/>
      </x:right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left style="thin">
        <x:color rgb="FFE5C84B"/>
      </x:left>
      <x:right style="thin">
        <x:color rgb="FFE5C84B"/>
      </x:right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  <x:border>
      <x:left style="thin">
        <x:color rgb="FFE5C84B"/>
      </x:left>
      <x:right style="thin">
        <x:color rgb="FFE5C84B"/>
      </x:right>
      <x:top style="thin">
        <x:color rgb="FFE2E8F0"/>
      </x:top>
      <x:bottom style="thin">
        <x:color rgb="FFCBD5E1"/>
      </x:bottom>
    </x:border>
    <x:border>
      <x:left style="thin">
        <x:color rgb="FFE5C84B"/>
      </x:left>
      <x:top style="thin">
        <x:color rgb="FFE5C84B"/>
      </x:top>
    </x:border>
    <x:border>
      <x:right style="thin">
        <x:color rgb="FFE5C84B"/>
      </x:right>
      <x:top style="thin">
        <x:color rgb="FFE5C84B"/>
      </x:top>
    </x:border>
    <x:border>
      <x:left style="thin">
        <x:color rgb="FFE5C84B"/>
      </x:left>
    </x:border>
    <x:border>
      <x:right style="thin">
        <x:color rgb="FFE5C84B"/>
      </x:right>
    </x:border>
    <x:border>
      <x:left style="thin">
        <x:color rgb="FFE5C84B"/>
      </x:left>
      <x:bottom style="thin">
        <x:color rgb="FFE5C84B"/>
      </x:bottom>
    </x:border>
    <x:border>
      <x:right style="thin">
        <x:color rgb="FFE5C84B"/>
      </x:right>
      <x:bottom style="thin">
        <x:color rgb="FFE5C84B"/>
      </x:bottom>
    </x:border>
    <x:border>
      <x:left style="thin">
        <x:color rgb="FFE5C84B"/>
      </x:left>
      <x:bottom style="thin">
        <x:color rgb="FFE2E8F0"/>
      </x:bottom>
    </x:border>
    <x:border>
      <x:right style="thin">
        <x:color rgb="FFE5C84B"/>
      </x:right>
      <x:bottom style="thin">
        <x:color rgb="FFE2E8F0"/>
      </x:bottom>
    </x:border>
    <x:border>
      <x:left style="thin">
        <x:color rgb="FFE5C84B"/>
      </x:left>
      <x:top style="thin">
        <x:color rgb="FFE2E8F0"/>
      </x:top>
      <x:bottom style="thin">
        <x:color rgb="FFE2E8F0"/>
      </x:bottom>
    </x:border>
    <x:border>
      <x:right style="thin">
        <x:color rgb="FFE5C84B"/>
      </x:right>
      <x:top style="thin">
        <x:color rgb="FFE2E8F0"/>
      </x:top>
      <x:bottom style="thin">
        <x:color rgb="FFE2E8F0"/>
      </x:bottom>
    </x:border>
    <x:border>
      <x:left style="thin">
        <x:color rgb="FFE5C84B"/>
      </x:left>
      <x:top style="thin">
        <x:color rgb="FFE2E8F0"/>
      </x:top>
      <x:bottom style="thin">
        <x:color rgb="FFCBD5E1"/>
      </x:bottom>
    </x:border>
    <x:border>
      <x:right style="thin">
        <x:color rgb="FFE5C84B"/>
      </x:right>
      <x:top style="thin">
        <x:color rgb="FFE2E8F0"/>
      </x:top>
      <x:bottom style="thin">
        <x:color rgb="FFCBD5E1"/>
      </x:bottom>
    </x:border>
    <x:border>
      <x:top style="thin">
        <x:color rgb="FFE5C84B"/>
      </x:top>
    </x:border>
    <x:border>
      <x:bottom style="thin">
        <x:color rgb="FFE5C84B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CA5A5"/>
      </x:left>
      <x:top style="thin">
        <x:color rgb="FFFCA5A5"/>
      </x:top>
      <x:bottom style="thin">
        <x:color rgb="FFFCA5A5"/>
      </x:bottom>
    </x:border>
    <x:border>
      <x:top style="thin">
        <x:color rgb="FFFCA5A5"/>
      </x:top>
      <x:bottom style="thin">
        <x:color rgb="FFFCA5A5"/>
      </x:bottom>
    </x:border>
    <x:border>
      <x:right style="thin">
        <x:color rgb="FFFCA5A5"/>
      </x:right>
      <x:top style="thin">
        <x:color rgb="FFFCA5A5"/>
      </x:top>
      <x:bottom style="thin">
        <x:color rgb="FFFCA5A5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4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vertical="center" wrapText="1"/>
    </x:xf>
    <x:xf numFmtId="0" fontId="4" fillId="4" borderId="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4" xfId="0" applyNumberFormat="1" applyFont="1" applyFill="1" applyBorder="1"/>
    <x:xf numFmtId="0" fontId="5" fillId="5" borderId="5" xfId="0" applyNumberFormat="1" applyFont="1" applyFill="1" applyBorder="1"/>
    <x:xf numFmtId="0" fontId="5" fillId="5" borderId="6" xfId="0" applyNumberFormat="1" applyFont="1" applyFill="1" applyBorder="1"/>
    <x:xf numFmtId="0" fontId="0" fillId="0" borderId="7" xfId="0" applyNumberFormat="1" applyFont="1" applyFill="1" applyBorder="1"/>
    <x:xf numFmtId="0" fontId="5" fillId="5" borderId="8" xfId="0" applyNumberFormat="1" applyFont="1" applyFill="1" applyBorder="1"/>
    <x:xf numFmtId="0" fontId="0" fillId="0" borderId="9" xfId="0" applyNumberFormat="1" applyFont="1" applyFill="1" applyBorder="1"/>
    <x:xf numFmtId="0" fontId="5" fillId="5" borderId="10" xfId="0" applyNumberFormat="1" applyFont="1" applyFill="1" applyBorder="1"/>
    <x:xf numFmtId="0" fontId="0" fillId="0" borderId="11" xfId="0" applyNumberFormat="1" applyFont="1" applyFill="1" applyBorder="1"/>
    <x:xf numFmtId="0" fontId="5" fillId="5" borderId="12" xfId="0" applyNumberFormat="1" applyFont="1" applyFill="1" applyBorder="1"/>
    <x:xf numFmtId="200" fontId="5" fillId="5" borderId="8" xfId="0" applyNumberFormat="1" applyFont="1" applyFill="1" applyBorder="1"/>
    <x:xf numFmtId="200" fontId="5" fillId="5" borderId="10" xfId="0" applyNumberFormat="1" applyFont="1" applyFill="1" applyBorder="1"/>
    <x:xf numFmtId="200" fontId="5" fillId="5" borderId="12" xfId="0" applyNumberFormat="1" applyFont="1" applyFill="1" applyBorder="1"/>
    <x:xf numFmtId="201" fontId="5" fillId="5" borderId="8" xfId="0" applyNumberFormat="1" applyFont="1" applyFill="1" applyBorder="1"/>
    <x:xf numFmtId="201" fontId="5" fillId="5" borderId="10" xfId="0" applyNumberFormat="1" applyFont="1" applyFill="1" applyBorder="1"/>
    <x:xf numFmtId="201" fontId="0" fillId="0" borderId="9" xfId="0" applyNumberFormat="1" applyFont="1" applyFill="1" applyBorder="1"/>
    <x:xf numFmtId="201" fontId="0" fillId="0" borderId="11" xfId="0" applyNumberFormat="1" applyFont="1" applyFill="1" applyBorder="1"/>
    <x:xf numFmtId="0" fontId="5" fillId="5" borderId="13" xfId="0" applyNumberFormat="1" applyFont="1" applyFill="1" applyBorder="1"/>
    <x:xf numFmtId="0" fontId="5" fillId="5" borderId="14" xfId="0" applyNumberFormat="1" applyFont="1" applyFill="1" applyBorder="1"/>
    <x:xf numFmtId="0" fontId="5" fillId="5" borderId="15" xfId="0" applyNumberFormat="1" applyFont="1" applyFill="1" applyBorder="1"/>
    <x:xf numFmtId="0" fontId="5" fillId="5" borderId="16" xfId="0" applyNumberFormat="1" applyFont="1" applyFill="1" applyBorder="1"/>
    <x:xf numFmtId="0" fontId="5" fillId="5" borderId="17" xfId="0" applyNumberFormat="1" applyFont="1" applyFill="1" applyBorder="1"/>
    <x:xf numFmtId="0" fontId="5" fillId="5" borderId="18" xfId="0" applyNumberFormat="1" applyFont="1" applyFill="1" applyBorder="1"/>
    <x:xf numFmtId="0" fontId="5" fillId="5" borderId="19" xfId="0" applyNumberFormat="1" applyFont="1" applyFill="1" applyBorder="1"/>
    <x:xf numFmtId="0" fontId="5" fillId="5" borderId="20" xfId="0" applyNumberFormat="1" applyFont="1" applyFill="1" applyBorder="1"/>
    <x:xf numFmtId="0" fontId="5" fillId="5" borderId="21" xfId="0" applyNumberFormat="1" applyFont="1" applyFill="1" applyBorder="1"/>
    <x:xf numFmtId="0" fontId="5" fillId="5" borderId="22" xfId="0" applyNumberFormat="1" applyFont="1" applyFill="1" applyBorder="1"/>
    <x:xf numFmtId="0" fontId="5" fillId="5" borderId="23" xfId="0" applyNumberFormat="1" applyFont="1" applyFill="1" applyBorder="1"/>
    <x:xf numFmtId="0" fontId="5" fillId="5" borderId="24" xfId="0" applyNumberFormat="1" applyFont="1" applyFill="1" applyBorder="1"/>
    <x:xf numFmtId="201" fontId="5" fillId="5" borderId="19" xfId="0" applyNumberFormat="1" applyFont="1" applyFill="1" applyBorder="1"/>
    <x:xf numFmtId="201" fontId="5" fillId="5" borderId="20" xfId="0" applyNumberFormat="1" applyFont="1" applyFill="1" applyBorder="1"/>
    <x:xf numFmtId="201" fontId="5" fillId="5" borderId="21" xfId="0" applyNumberFormat="1" applyFont="1" applyFill="1" applyBorder="1"/>
    <x:xf numFmtId="201" fontId="5" fillId="5" borderId="22" xfId="0" applyNumberFormat="1" applyFont="1" applyFill="1" applyBorder="1"/>
    <x:xf numFmtId="201" fontId="5" fillId="5" borderId="23" xfId="0" applyNumberFormat="1" applyFont="1" applyFill="1" applyBorder="1"/>
    <x:xf numFmtId="201" fontId="5" fillId="5" borderId="24" xfId="0" applyNumberFormat="1" applyFont="1" applyFill="1" applyBorder="1"/>
    <x:xf numFmtId="0" fontId="5" fillId="5" borderId="25" xfId="0" applyNumberFormat="1" applyFont="1" applyFill="1" applyBorder="1"/>
    <x:xf numFmtId="0" fontId="5" fillId="5" borderId="26" xfId="0" applyNumberFormat="1" applyFont="1" applyFill="1" applyBorder="1"/>
    <x:xf numFmtId="0" fontId="5" fillId="5" borderId="7" xfId="0" applyNumberFormat="1" applyFont="1" applyFill="1" applyBorder="1"/>
    <x:xf numFmtId="0" fontId="5" fillId="5" borderId="9" xfId="0" applyNumberFormat="1" applyFont="1" applyFill="1" applyBorder="1"/>
    <x:xf numFmtId="201" fontId="5" fillId="5" borderId="7" xfId="0" applyNumberFormat="1" applyFont="1" applyFill="1" applyBorder="1"/>
    <x:xf numFmtId="201" fontId="5" fillId="5" borderId="9" xfId="0" applyNumberFormat="1" applyFont="1" applyFill="1" applyBorder="1"/>
    <x:xf numFmtId="202" fontId="5" fillId="5" borderId="21" xfId="0" applyNumberFormat="1" applyFont="1" applyFill="1" applyBorder="1"/>
    <x:xf numFmtId="202" fontId="5" fillId="5" borderId="9" xfId="0" applyNumberFormat="1" applyFont="1" applyFill="1" applyBorder="1"/>
    <x:xf numFmtId="202" fontId="5" fillId="5" borderId="22" xfId="0" applyNumberFormat="1" applyFont="1" applyFill="1" applyBorder="1"/>
    <x:xf numFmtId="0" fontId="6" fillId="0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7" fillId="4" borderId="1" xfId="0" applyNumberFormat="1" applyFont="1" applyFill="1" applyBorder="1" applyAlignment="1">
      <x:alignment vertical="center" wrapText="1"/>
    </x:xf>
    <x:xf numFmtId="0" fontId="7" fillId="4" borderId="2" xfId="0" applyNumberFormat="1" applyFont="1" applyFill="1" applyBorder="1" applyAlignment="1">
      <x:alignment vertical="center" wrapText="1"/>
    </x:xf>
    <x:xf numFmtId="0" fontId="7" fillId="4" borderId="3" xfId="0" applyNumberFormat="1" applyFont="1" applyFill="1" applyBorder="1" applyAlignment="1">
      <x:alignment vertical="center" wrapText="1"/>
    </x:xf>
    <x:xf numFmtId="0" fontId="6" fillId="0" borderId="7" xfId="0" applyNumberFormat="1" applyFont="1" applyFill="1" applyBorder="1"/>
    <x:xf numFmtId="200" fontId="6" fillId="5" borderId="8" xfId="0" applyNumberFormat="1" applyFont="1" applyFill="1" applyBorder="1"/>
    <x:xf numFmtId="201" fontId="6" fillId="5" borderId="19" xfId="0" applyNumberFormat="1" applyFont="1" applyFill="1" applyBorder="1"/>
    <x:xf numFmtId="201" fontId="6" fillId="5" borderId="7" xfId="0" applyNumberFormat="1" applyFont="1" applyFill="1" applyBorder="1"/>
    <x:xf numFmtId="201" fontId="6" fillId="5" borderId="20" xfId="0" applyNumberFormat="1" applyFont="1" applyFill="1" applyBorder="1"/>
    <x:xf numFmtId="0" fontId="6" fillId="0" borderId="9" xfId="0" applyNumberFormat="1" applyFont="1" applyFill="1" applyBorder="1"/>
    <x:xf numFmtId="200" fontId="6" fillId="5" borderId="10" xfId="0" applyNumberFormat="1" applyFont="1" applyFill="1" applyBorder="1"/>
    <x:xf numFmtId="201" fontId="6" fillId="5" borderId="21" xfId="0" applyNumberFormat="1" applyFont="1" applyFill="1" applyBorder="1"/>
    <x:xf numFmtId="201" fontId="6" fillId="5" borderId="9" xfId="0" applyNumberFormat="1" applyFont="1" applyFill="1" applyBorder="1"/>
    <x:xf numFmtId="201" fontId="6" fillId="5" borderId="22" xfId="0" applyNumberFormat="1" applyFont="1" applyFill="1" applyBorder="1"/>
    <x:xf numFmtId="201" fontId="6" fillId="0" borderId="9" xfId="0" applyNumberFormat="1" applyFont="1" applyFill="1" applyBorder="1"/>
    <x:xf numFmtId="202" fontId="6" fillId="5" borderId="21" xfId="0" applyNumberFormat="1" applyFont="1" applyFill="1" applyBorder="1"/>
    <x:xf numFmtId="202" fontId="6" fillId="5" borderId="9" xfId="0" applyNumberFormat="1" applyFont="1" applyFill="1" applyBorder="1"/>
    <x:xf numFmtId="202" fontId="6" fillId="5" borderId="22" xfId="0" applyNumberFormat="1" applyFont="1" applyFill="1" applyBorder="1"/>
    <x:xf numFmtId="0" fontId="6" fillId="0" borderId="11" xfId="0" applyNumberFormat="1" applyFont="1" applyFill="1" applyBorder="1"/>
    <x:xf numFmtId="200" fontId="6" fillId="5" borderId="12" xfId="0" applyNumberFormat="1" applyFont="1" applyFill="1" applyBorder="1"/>
    <x:xf numFmtId="201" fontId="6" fillId="5" borderId="8" xfId="0" applyNumberFormat="1" applyFont="1" applyFill="1" applyBorder="1"/>
    <x:xf numFmtId="201" fontId="6" fillId="5" borderId="10" xfId="0" applyNumberFormat="1" applyFont="1" applyFill="1" applyBorder="1"/>
    <x:xf numFmtId="201" fontId="6" fillId="0" borderId="11" xfId="0" applyNumberFormat="1" applyFont="1" applyFill="1" applyBorder="1"/>
    <x:xf numFmtId="201" fontId="6" fillId="5" borderId="23" xfId="0" applyNumberFormat="1" applyFont="1" applyFill="1" applyBorder="1"/>
    <x:xf numFmtId="201" fontId="6" fillId="5" borderId="24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6" fillId="0" borderId="7" xfId="0" applyNumberFormat="1" applyFont="1" applyFill="1" applyBorder="1" applyAlignment="1">
      <x:alignment vertical="center"/>
    </x:xf>
    <x:xf numFmtId="200" fontId="6" fillId="5" borderId="8" xfId="0" applyNumberFormat="1" applyFont="1" applyFill="1" applyBorder="1" applyAlignment="1">
      <x:alignment vertical="center"/>
    </x:xf>
    <x:xf numFmtId="201" fontId="6" fillId="5" borderId="19" xfId="0" applyNumberFormat="1" applyFont="1" applyFill="1" applyBorder="1" applyAlignment="1">
      <x:alignment vertical="center"/>
    </x:xf>
    <x:xf numFmtId="201" fontId="6" fillId="5" borderId="7" xfId="0" applyNumberFormat="1" applyFont="1" applyFill="1" applyBorder="1" applyAlignment="1">
      <x:alignment vertical="center"/>
    </x:xf>
    <x:xf numFmtId="201" fontId="6" fillId="5" borderId="20" xfId="0" applyNumberFormat="1" applyFont="1" applyFill="1" applyBorder="1" applyAlignment="1">
      <x:alignment vertical="center"/>
    </x:xf>
    <x:xf numFmtId="0" fontId="6" fillId="0" borderId="9" xfId="0" applyNumberFormat="1" applyFont="1" applyFill="1" applyBorder="1" applyAlignment="1">
      <x:alignment vertical="center"/>
    </x:xf>
    <x:xf numFmtId="200" fontId="6" fillId="5" borderId="10" xfId="0" applyNumberFormat="1" applyFont="1" applyFill="1" applyBorder="1" applyAlignment="1">
      <x:alignment vertical="center"/>
    </x:xf>
    <x:xf numFmtId="201" fontId="6" fillId="5" borderId="21" xfId="0" applyNumberFormat="1" applyFont="1" applyFill="1" applyBorder="1" applyAlignment="1">
      <x:alignment vertical="center"/>
    </x:xf>
    <x:xf numFmtId="201" fontId="6" fillId="5" borderId="9" xfId="0" applyNumberFormat="1" applyFont="1" applyFill="1" applyBorder="1" applyAlignment="1">
      <x:alignment vertical="center"/>
    </x:xf>
    <x:xf numFmtId="201" fontId="6" fillId="5" borderId="22" xfId="0" applyNumberFormat="1" applyFont="1" applyFill="1" applyBorder="1" applyAlignment="1">
      <x:alignment vertical="center"/>
    </x:xf>
    <x:xf numFmtId="201" fontId="6" fillId="0" borderId="9" xfId="0" applyNumberFormat="1" applyFont="1" applyFill="1" applyBorder="1" applyAlignment="1">
      <x:alignment vertical="center"/>
    </x:xf>
    <x:xf numFmtId="202" fontId="6" fillId="5" borderId="21" xfId="0" applyNumberFormat="1" applyFont="1" applyFill="1" applyBorder="1" applyAlignment="1">
      <x:alignment vertical="center"/>
    </x:xf>
    <x:xf numFmtId="202" fontId="6" fillId="5" borderId="9" xfId="0" applyNumberFormat="1" applyFont="1" applyFill="1" applyBorder="1" applyAlignment="1">
      <x:alignment vertical="center"/>
    </x:xf>
    <x:xf numFmtId="202" fontId="6" fillId="5" borderId="22" xfId="0" applyNumberFormat="1" applyFont="1" applyFill="1" applyBorder="1" applyAlignment="1">
      <x:alignment vertical="center"/>
    </x:xf>
    <x:xf numFmtId="0" fontId="6" fillId="0" borderId="11" xfId="0" applyNumberFormat="1" applyFont="1" applyFill="1" applyBorder="1" applyAlignment="1">
      <x:alignment vertical="center"/>
    </x:xf>
    <x:xf numFmtId="200" fontId="6" fillId="5" borderId="12" xfId="0" applyNumberFormat="1" applyFont="1" applyFill="1" applyBorder="1" applyAlignment="1">
      <x:alignment vertical="center"/>
    </x:xf>
    <x:xf numFmtId="201" fontId="6" fillId="5" borderId="8" xfId="0" applyNumberFormat="1" applyFont="1" applyFill="1" applyBorder="1" applyAlignment="1">
      <x:alignment vertical="center"/>
    </x:xf>
    <x:xf numFmtId="201" fontId="6" fillId="5" borderId="10" xfId="0" applyNumberFormat="1" applyFont="1" applyFill="1" applyBorder="1" applyAlignment="1">
      <x:alignment vertical="center"/>
    </x:xf>
    <x:xf numFmtId="201" fontId="6" fillId="0" borderId="11" xfId="0" applyNumberFormat="1" applyFont="1" applyFill="1" applyBorder="1" applyAlignment="1">
      <x:alignment vertical="center"/>
    </x:xf>
    <x:xf numFmtId="201" fontId="6" fillId="5" borderId="23" xfId="0" applyNumberFormat="1" applyFont="1" applyFill="1" applyBorder="1" applyAlignment="1">
      <x:alignment vertical="center"/>
    </x:xf>
    <x:xf numFmtId="201" fontId="6" fillId="5" borderId="24" xfId="0" applyNumberFormat="1" applyFont="1" applyFill="1" applyBorder="1" applyAlignment="1">
      <x:alignment vertical="center"/>
    </x:xf>
    <x:xf numFmtId="0" fontId="6" fillId="0" borderId="7" xfId="0" applyNumberFormat="1" applyFont="1" applyFill="1" applyBorder="1" applyAlignment="1">
      <x:alignment vertical="center" wrapText="1"/>
    </x:xf>
    <x:xf numFmtId="0" fontId="6" fillId="0" borderId="9" xfId="0" applyNumberFormat="1" applyFont="1" applyFill="1" applyBorder="1" applyAlignment="1">
      <x:alignment vertical="center" wrapText="1"/>
    </x:xf>
    <x:xf numFmtId="0" fontId="6" fillId="0" borderId="11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8" fillId="0" borderId="7" xfId="0" applyNumberFormat="1" applyFont="1" applyFill="1" applyBorder="1"/>
    <x:xf numFmtId="0" fontId="8" fillId="0" borderId="9" xfId="0" applyNumberFormat="1" applyFont="1" applyFill="1" applyBorder="1"/>
    <x:xf numFmtId="0" fontId="8" fillId="0" borderId="11" xfId="0" applyNumberFormat="1" applyFont="1" applyFill="1" applyBorder="1"/>
    <x:xf numFmtId="203" fontId="8" fillId="0" borderId="7" xfId="0" applyNumberFormat="1" applyFont="1" applyFill="1" applyBorder="1"/>
    <x:xf numFmtId="203" fontId="8" fillId="0" borderId="9" xfId="0" applyNumberFormat="1" applyFont="1" applyFill="1" applyBorder="1"/>
    <x:xf numFmtId="203" fontId="8" fillId="0" borderId="11" xfId="0" applyNumberFormat="1" applyFont="1" applyFill="1" applyBorder="1"/>
    <x:xf numFmtId="203" fontId="0" fillId="0" borderId="0" xfId="0" applyNumberFormat="1" applyFont="1" applyFill="1" applyBorder="1"/>
    <x:xf numFmtId="203" fontId="9" fillId="0" borderId="7" xfId="0" applyNumberFormat="1" applyFont="1" applyFill="1" applyBorder="1"/>
    <x:xf numFmtId="203" fontId="9" fillId="0" borderId="9" xfId="0" applyNumberFormat="1" applyFont="1" applyFill="1" applyBorder="1"/>
    <x:xf numFmtId="203" fontId="9" fillId="0" borderId="11" xfId="0" applyNumberFormat="1" applyFont="1" applyFill="1" applyBorder="1"/>
    <x:xf numFmtId="0" fontId="0" fillId="6" borderId="0" xfId="0" applyNumberFormat="1" applyFont="1" applyFill="1" applyBorder="1"/>
    <x:xf numFmtId="203" fontId="0" fillId="6" borderId="0" xfId="0" applyNumberFormat="1" applyFont="1" applyFill="1" applyBorder="1"/>
    <x:xf numFmtId="0" fontId="10" fillId="6" borderId="0" xfId="0" applyNumberFormat="1" applyFont="1" applyFill="1" applyBorder="1"/>
    <x:xf numFmtId="203" fontId="10" fillId="6" borderId="0" xfId="0" applyNumberFormat="1" applyFont="1" applyFill="1" applyBorder="1"/>
    <x:xf numFmtId="0" fontId="10" fillId="6" borderId="27" xfId="0" applyNumberFormat="1" applyFont="1" applyFill="1" applyBorder="1"/>
    <x:xf numFmtId="0" fontId="10" fillId="6" borderId="28" xfId="0" applyNumberFormat="1" applyFont="1" applyFill="1" applyBorder="1"/>
    <x:xf numFmtId="203" fontId="10" fillId="6" borderId="28" xfId="0" applyNumberFormat="1" applyFont="1" applyFill="1" applyBorder="1"/>
    <x:xf numFmtId="203" fontId="10" fillId="6" borderId="29" xfId="0" applyNumberFormat="1" applyFont="1" applyFill="1" applyBorder="1"/>
    <x:xf numFmtId="0" fontId="10" fillId="6" borderId="30" xfId="0" applyNumberFormat="1" applyFont="1" applyFill="1" applyBorder="1"/>
    <x:xf numFmtId="203" fontId="10" fillId="6" borderId="31" xfId="0" applyNumberFormat="1" applyFont="1" applyFill="1" applyBorder="1"/>
    <x:xf numFmtId="0" fontId="10" fillId="6" borderId="32" xfId="0" applyNumberFormat="1" applyFont="1" applyFill="1" applyBorder="1"/>
    <x:xf numFmtId="0" fontId="10" fillId="6" borderId="33" xfId="0" applyNumberFormat="1" applyFont="1" applyFill="1" applyBorder="1"/>
    <x:xf numFmtId="203" fontId="10" fillId="6" borderId="33" xfId="0" applyNumberFormat="1" applyFont="1" applyFill="1" applyBorder="1"/>
    <x:xf numFmtId="203" fontId="10" fillId="6" borderId="34" xfId="0" applyNumberFormat="1" applyFont="1" applyFill="1" applyBorder="1"/>
    <x:xf numFmtId="0" fontId="10" fillId="7" borderId="32" xfId="0" applyNumberFormat="1" applyFont="1" applyFill="1" applyBorder="1"/>
    <x:xf numFmtId="0" fontId="10" fillId="7" borderId="33" xfId="0" applyNumberFormat="1" applyFont="1" applyFill="1" applyBorder="1"/>
    <x:xf numFmtId="203" fontId="10" fillId="7" borderId="33" xfId="0" applyNumberFormat="1" applyFont="1" applyFill="1" applyBorder="1"/>
    <x:xf numFmtId="203" fontId="10" fillId="7" borderId="34" xfId="0" applyNumberFormat="1" applyFont="1" applyFill="1" applyBorder="1"/>
    <x:xf numFmtId="203" fontId="11" fillId="7" borderId="33" xfId="0" applyNumberFormat="1" applyFont="1" applyFill="1" applyBorder="1"/>
    <x:xf numFmtId="203" fontId="11" fillId="7" borderId="34" xfId="0" applyNumberFormat="1" applyFont="1" applyFill="1" applyBorder="1"/>
    <x:xf numFmtId="203" fontId="0" fillId="0" borderId="7" xfId="0" applyNumberFormat="1" applyFont="1" applyFill="1" applyBorder="1"/>
    <x:xf numFmtId="203" fontId="0" fillId="0" borderId="9" xfId="0" applyNumberFormat="1" applyFont="1" applyFill="1" applyBorder="1"/>
    <x:xf numFmtId="203" fontId="0" fillId="0" borderId="11" xfId="0" applyNumberFormat="1" applyFont="1" applyFill="1" applyBorder="1"/>
    <x:xf numFmtId="203" fontId="3" fillId="2" borderId="0" xfId="0" applyNumberFormat="1" applyFont="1" applyFill="1" applyBorder="1" applyAlignment="1">
      <x:alignment vertical="center"/>
    </x:xf>
    <x:xf numFmtId="203" fontId="4" fillId="4" borderId="2" xfId="0" applyNumberFormat="1" applyFont="1" applyFill="1" applyBorder="1" applyAlignment="1">
      <x:alignment vertical="center" wrapText="1"/>
    </x:xf>
    <x:xf numFmtId="203" fontId="12" fillId="0" borderId="7" xfId="0" applyNumberFormat="1" applyFont="1" applyFill="1" applyBorder="1"/>
    <x:xf numFmtId="203" fontId="12" fillId="0" borderId="9" xfId="0" applyNumberFormat="1" applyFont="1" applyFill="1" applyBorder="1"/>
    <x:xf numFmtId="203" fontId="12" fillId="0" borderId="11" xfId="0" applyNumberFormat="1" applyFont="1" applyFill="1" applyBorder="1"/>
    <x:xf numFmtId="203" fontId="12" fillId="0" borderId="0" xfId="0" applyNumberFormat="1" applyFont="1" applyFill="1" applyBorder="1"/>
    <x:xf numFmtId="203" fontId="13" fillId="2" borderId="0" xfId="0" applyNumberFormat="1" applyFont="1" applyFill="1" applyBorder="1" applyAlignment="1">
      <x:alignment vertical="center"/>
    </x:xf>
    <x:xf numFmtId="203" fontId="13" fillId="4" borderId="2" xfId="0" applyNumberFormat="1" applyFont="1" applyFill="1" applyBorder="1" applyAlignment="1">
      <x:alignment vertical="center" wrapText="1"/>
    </x:xf>
    <x:xf numFmtId="0" fontId="14" fillId="6" borderId="0" xfId="0" applyNumberFormat="1" applyFont="1" applyFill="1" applyBorder="1"/>
    <x:xf numFmtId="203" fontId="14" fillId="6" borderId="0" xfId="0" applyNumberFormat="1" applyFont="1" applyFill="1" applyBorder="1"/>
    <x:xf numFmtId="0" fontId="14" fillId="6" borderId="27" xfId="0" applyNumberFormat="1" applyFont="1" applyFill="1" applyBorder="1"/>
    <x:xf numFmtId="0" fontId="14" fillId="6" borderId="28" xfId="0" applyNumberFormat="1" applyFont="1" applyFill="1" applyBorder="1"/>
    <x:xf numFmtId="203" fontId="14" fillId="6" borderId="28" xfId="0" applyNumberFormat="1" applyFont="1" applyFill="1" applyBorder="1"/>
    <x:xf numFmtId="203" fontId="14" fillId="6" borderId="29" xfId="0" applyNumberFormat="1" applyFont="1" applyFill="1" applyBorder="1"/>
    <x:xf numFmtId="0" fontId="14" fillId="6" borderId="30" xfId="0" applyNumberFormat="1" applyFont="1" applyFill="1" applyBorder="1"/>
    <x:xf numFmtId="203" fontId="14" fillId="6" borderId="31" xfId="0" applyNumberFormat="1" applyFont="1" applyFill="1" applyBorder="1"/>
    <x:xf numFmtId="0" fontId="14" fillId="6" borderId="32" xfId="0" applyNumberFormat="1" applyFont="1" applyFill="1" applyBorder="1"/>
    <x:xf numFmtId="0" fontId="14" fillId="6" borderId="33" xfId="0" applyNumberFormat="1" applyFont="1" applyFill="1" applyBorder="1"/>
    <x:xf numFmtId="203" fontId="14" fillId="6" borderId="33" xfId="0" applyNumberFormat="1" applyFont="1" applyFill="1" applyBorder="1"/>
    <x:xf numFmtId="203" fontId="14" fillId="6" borderId="34" xfId="0" applyNumberFormat="1" applyFont="1" applyFill="1" applyBorder="1"/>
    <x:xf numFmtId="0" fontId="14" fillId="7" borderId="30" xfId="0" applyNumberFormat="1" applyFont="1" applyFill="1" applyBorder="1"/>
    <x:xf numFmtId="0" fontId="14" fillId="7" borderId="0" xfId="0" applyNumberFormat="1" applyFont="1" applyFill="1" applyBorder="1"/>
    <x:xf numFmtId="203" fontId="14" fillId="7" borderId="0" xfId="0" applyNumberFormat="1" applyFont="1" applyFill="1" applyBorder="1"/>
    <x:xf numFmtId="203" fontId="14" fillId="7" borderId="31" xfId="0" applyNumberFormat="1" applyFont="1" applyFill="1" applyBorder="1"/>
    <x:xf numFmtId="203" fontId="11" fillId="7" borderId="0" xfId="0" applyNumberFormat="1" applyFont="1" applyFill="1" applyBorder="1"/>
    <x:xf numFmtId="203" fontId="11" fillId="7" borderId="31" xfId="0" applyNumberFormat="1" applyFont="1" applyFill="1" applyBorder="1"/>
    <x:xf numFmtId="0" fontId="0" fillId="8" borderId="0" xfId="0" applyNumberFormat="1" applyFont="1" applyFill="1" applyBorder="1"/>
    <x:xf numFmtId="203" fontId="0" fillId="8" borderId="0" xfId="0" applyNumberFormat="1" applyFont="1" applyFill="1" applyBorder="1"/>
    <x:xf numFmtId="0" fontId="15" fillId="8" borderId="0" xfId="0" applyNumberFormat="1" applyFont="1" applyFill="1" applyBorder="1"/>
    <x:xf numFmtId="203" fontId="15" fillId="8" borderId="0" xfId="0" applyNumberFormat="1" applyFont="1" applyFill="1" applyBorder="1"/>
    <x:xf numFmtId="0" fontId="15" fillId="8" borderId="35" xfId="0" applyNumberFormat="1" applyFont="1" applyFill="1" applyBorder="1"/>
    <x:xf numFmtId="0" fontId="15" fillId="8" borderId="36" xfId="0" applyNumberFormat="1" applyFont="1" applyFill="1" applyBorder="1"/>
    <x:xf numFmtId="203" fontId="15" fillId="8" borderId="36" xfId="0" applyNumberFormat="1" applyFont="1" applyFill="1" applyBorder="1"/>
    <x:xf numFmtId="203" fontId="15" fillId="8" borderId="37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204" fontId="0" fillId="0" borderId="7" xfId="0" applyNumberFormat="1" applyFont="1" applyFill="1" applyBorder="1"/>
    <x:xf numFmtId="204" fontId="0" fillId="0" borderId="9" xfId="0" applyNumberFormat="1" applyFont="1" applyFill="1" applyBorder="1"/>
    <x:xf numFmtId="204" fontId="0" fillId="0" borderId="11" xfId="0" applyNumberFormat="1" applyFont="1" applyFill="1" applyBorder="1"/>
    <x:xf numFmtId="204" fontId="0" fillId="0" borderId="0" xfId="0" applyNumberFormat="1" applyFont="1" applyFill="1" applyBorder="1"/>
    <x:xf numFmtId="204" fontId="12" fillId="0" borderId="7" xfId="0" applyNumberFormat="1" applyFont="1" applyFill="1" applyBorder="1"/>
    <x:xf numFmtId="204" fontId="12" fillId="0" borderId="9" xfId="0" applyNumberFormat="1" applyFont="1" applyFill="1" applyBorder="1"/>
    <x:xf numFmtId="204" fontId="12" fillId="0" borderId="11" xfId="0" applyNumberFormat="1" applyFont="1" applyFill="1" applyBorder="1"/>
    <x:xf numFmtId="204" fontId="0" fillId="6" borderId="0" xfId="0" applyNumberFormat="1" applyFont="1" applyFill="1" applyBorder="1"/>
    <x:xf numFmtId="204" fontId="14" fillId="6" borderId="0" xfId="0" applyNumberFormat="1" applyFont="1" applyFill="1" applyBorder="1"/>
    <x:xf numFmtId="204" fontId="14" fillId="6" borderId="28" xfId="0" applyNumberFormat="1" applyFont="1" applyFill="1" applyBorder="1"/>
    <x:xf numFmtId="0" fontId="14" fillId="6" borderId="29" xfId="0" applyNumberFormat="1" applyFont="1" applyFill="1" applyBorder="1"/>
    <x:xf numFmtId="0" fontId="14" fillId="6" borderId="31" xfId="0" applyNumberFormat="1" applyFont="1" applyFill="1" applyBorder="1"/>
    <x:xf numFmtId="204" fontId="14" fillId="6" borderId="33" xfId="0" applyNumberFormat="1" applyFont="1" applyFill="1" applyBorder="1"/>
    <x:xf numFmtId="0" fontId="14" fillId="6" borderId="34" xfId="0" applyNumberFormat="1" applyFont="1" applyFill="1" applyBorder="1"/>
    <x:xf numFmtId="0" fontId="14" fillId="7" borderId="27" xfId="0" applyNumberFormat="1" applyFont="1" applyFill="1" applyBorder="1"/>
    <x:xf numFmtId="204" fontId="14" fillId="7" borderId="28" xfId="0" applyNumberFormat="1" applyFont="1" applyFill="1" applyBorder="1"/>
    <x:xf numFmtId="0" fontId="14" fillId="7" borderId="28" xfId="0" applyNumberFormat="1" applyFont="1" applyFill="1" applyBorder="1"/>
    <x:xf numFmtId="0" fontId="14" fillId="7" borderId="29" xfId="0" applyNumberFormat="1" applyFont="1" applyFill="1" applyBorder="1"/>
    <x:xf numFmtId="0" fontId="14" fillId="9" borderId="30" xfId="0" applyNumberFormat="1" applyFont="1" applyFill="1" applyBorder="1"/>
    <x:xf numFmtId="204" fontId="14" fillId="9" borderId="0" xfId="0" applyNumberFormat="1" applyFont="1" applyFill="1" applyBorder="1"/>
    <x:xf numFmtId="0" fontId="14" fillId="9" borderId="0" xfId="0" applyNumberFormat="1" applyFont="1" applyFill="1" applyBorder="1"/>
    <x:xf numFmtId="0" fontId="14" fillId="9" borderId="31" xfId="0" applyNumberFormat="1" applyFont="1" applyFill="1" applyBorder="1"/>
    <x:xf numFmtId="0" fontId="14" fillId="5" borderId="32" xfId="0" applyNumberFormat="1" applyFont="1" applyFill="1" applyBorder="1"/>
    <x:xf numFmtId="204" fontId="14" fillId="5" borderId="33" xfId="0" applyNumberFormat="1" applyFont="1" applyFill="1" applyBorder="1"/>
    <x:xf numFmtId="0" fontId="14" fillId="5" borderId="33" xfId="0" applyNumberFormat="1" applyFont="1" applyFill="1" applyBorder="1"/>
    <x:xf numFmtId="0" fontId="14" fillId="5" borderId="34" xfId="0" applyNumberFormat="1" applyFont="1" applyFill="1" applyBorder="1"/>
    <x:xf numFmtId="0" fontId="14" fillId="7" borderId="28" xfId="0" applyNumberFormat="1" applyFont="1" applyFill="1" applyBorder="1" applyAlignment="1">
      <x:alignment wrapText="1"/>
    </x:xf>
    <x:xf numFmtId="0" fontId="14" fillId="6" borderId="0" xfId="0" applyNumberFormat="1" applyFont="1" applyFill="1" applyBorder="1" applyAlignment="1">
      <x:alignment wrapText="1"/>
    </x:xf>
    <x:xf numFmtId="0" fontId="14" fillId="9" borderId="0" xfId="0" applyNumberFormat="1" applyFont="1" applyFill="1" applyBorder="1" applyAlignment="1">
      <x:alignment wrapText="1"/>
    </x:xf>
    <x:xf numFmtId="0" fontId="14" fillId="5" borderId="33" xfId="0" applyNumberFormat="1" applyFont="1" applyFill="1" applyBorder="1" applyAlignment="1">
      <x:alignment wrapText="1"/>
    </x:xf>
    <x:xf numFmtId="0" fontId="16" fillId="4" borderId="0" xfId="0" applyNumberFormat="1" applyFont="1" applyFill="1" applyBorder="1"/>
    <x:xf numFmtId="0" fontId="16" fillId="4" borderId="0" xfId="0" applyNumberFormat="1" applyFont="1" applyFill="1" applyBorder="1" applyAlignment="1">
      <x:alignment horizontal="center"/>
    </x:xf>
    <x:xf numFmtId="0" fontId="16" fillId="4" borderId="0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17" fillId="10" borderId="0" xfId="0" applyNumberFormat="1" applyFont="1" applyFill="1" applyBorder="1"/>
    <x:xf numFmtId="0" fontId="17" fillId="10" borderId="27" xfId="0" applyNumberFormat="1" applyFont="1" applyFill="1" applyBorder="1"/>
    <x:xf numFmtId="0" fontId="17" fillId="10" borderId="28" xfId="0" applyNumberFormat="1" applyFont="1" applyFill="1" applyBorder="1"/>
    <x:xf numFmtId="0" fontId="17" fillId="10" borderId="29" xfId="0" applyNumberFormat="1" applyFont="1" applyFill="1" applyBorder="1"/>
    <x:xf numFmtId="0" fontId="17" fillId="10" borderId="30" xfId="0" applyNumberFormat="1" applyFont="1" applyFill="1" applyBorder="1"/>
    <x:xf numFmtId="0" fontId="17" fillId="10" borderId="31" xfId="0" applyNumberFormat="1" applyFont="1" applyFill="1" applyBorder="1"/>
    <x:xf numFmtId="0" fontId="17" fillId="10" borderId="32" xfId="0" applyNumberFormat="1" applyFont="1" applyFill="1" applyBorder="1"/>
    <x:xf numFmtId="0" fontId="17" fillId="10" borderId="33" xfId="0" applyNumberFormat="1" applyFont="1" applyFill="1" applyBorder="1"/>
    <x:xf numFmtId="0" fontId="17" fillId="10" borderId="34" xfId="0" applyNumberFormat="1" applyFont="1" applyFill="1" applyBorder="1"/>
    <x:xf numFmtId="204" fontId="17" fillId="10" borderId="27" xfId="0" applyNumberFormat="1" applyFont="1" applyFill="1" applyBorder="1"/>
    <x:xf numFmtId="204" fontId="17" fillId="10" borderId="28" xfId="0" applyNumberFormat="1" applyFont="1" applyFill="1" applyBorder="1"/>
    <x:xf numFmtId="204" fontId="17" fillId="10" borderId="29" xfId="0" applyNumberFormat="1" applyFont="1" applyFill="1" applyBorder="1"/>
    <x:xf numFmtId="204" fontId="17" fillId="10" borderId="30" xfId="0" applyNumberFormat="1" applyFont="1" applyFill="1" applyBorder="1"/>
    <x:xf numFmtId="204" fontId="17" fillId="10" borderId="0" xfId="0" applyNumberFormat="1" applyFont="1" applyFill="1" applyBorder="1"/>
    <x:xf numFmtId="204" fontId="17" fillId="10" borderId="31" xfId="0" applyNumberFormat="1" applyFont="1" applyFill="1" applyBorder="1"/>
    <x:xf numFmtId="204" fontId="17" fillId="10" borderId="32" xfId="0" applyNumberFormat="1" applyFont="1" applyFill="1" applyBorder="1"/>
    <x:xf numFmtId="204" fontId="17" fillId="10" borderId="33" xfId="0" applyNumberFormat="1" applyFont="1" applyFill="1" applyBorder="1"/>
    <x:xf numFmtId="204" fontId="17" fillId="10" borderId="34" xfId="0" applyNumberFormat="1" applyFont="1" applyFill="1" applyBorder="1"/>
    <x:xf numFmtId="204" fontId="17" fillId="10" borderId="27" xfId="0" applyNumberFormat="1" applyFont="1" applyFill="1" applyBorder="1" applyAlignment="1">
      <x:alignment horizontal="center"/>
    </x:xf>
    <x:xf numFmtId="204" fontId="17" fillId="10" borderId="28" xfId="0" applyNumberFormat="1" applyFont="1" applyFill="1" applyBorder="1" applyAlignment="1">
      <x:alignment horizontal="center"/>
    </x:xf>
    <x:xf numFmtId="204" fontId="17" fillId="10" borderId="29" xfId="0" applyNumberFormat="1" applyFont="1" applyFill="1" applyBorder="1" applyAlignment="1">
      <x:alignment horizontal="center"/>
    </x:xf>
    <x:xf numFmtId="204" fontId="17" fillId="10" borderId="30" xfId="0" applyNumberFormat="1" applyFont="1" applyFill="1" applyBorder="1" applyAlignment="1">
      <x:alignment horizontal="center"/>
    </x:xf>
    <x:xf numFmtId="204" fontId="17" fillId="10" borderId="0" xfId="0" applyNumberFormat="1" applyFont="1" applyFill="1" applyBorder="1" applyAlignment="1">
      <x:alignment horizontal="center"/>
    </x:xf>
    <x:xf numFmtId="204" fontId="17" fillId="10" borderId="31" xfId="0" applyNumberFormat="1" applyFont="1" applyFill="1" applyBorder="1" applyAlignment="1">
      <x:alignment horizontal="center"/>
    </x:xf>
    <x:xf numFmtId="204" fontId="17" fillId="10" borderId="32" xfId="0" applyNumberFormat="1" applyFont="1" applyFill="1" applyBorder="1" applyAlignment="1">
      <x:alignment horizontal="center"/>
    </x:xf>
    <x:xf numFmtId="204" fontId="17" fillId="10" borderId="33" xfId="0" applyNumberFormat="1" applyFont="1" applyFill="1" applyBorder="1" applyAlignment="1">
      <x:alignment horizontal="center"/>
    </x:xf>
    <x:xf numFmtId="204" fontId="17" fillId="10" borderId="34" xfId="0" applyNumberFormat="1" applyFont="1" applyFill="1" applyBorder="1" applyAlignment="1">
      <x:alignment horizontal="center"/>
    </x:xf>
    <x:xf numFmtId="204" fontId="17" fillId="10" borderId="27" xfId="0" applyNumberFormat="1" applyFont="1" applyFill="1" applyBorder="1" applyAlignment="1">
      <x:alignment horizontal="center" vertical="center"/>
    </x:xf>
    <x:xf numFmtId="204" fontId="17" fillId="10" borderId="28" xfId="0" applyNumberFormat="1" applyFont="1" applyFill="1" applyBorder="1" applyAlignment="1">
      <x:alignment horizontal="center" vertical="center"/>
    </x:xf>
    <x:xf numFmtId="204" fontId="17" fillId="10" borderId="29" xfId="0" applyNumberFormat="1" applyFont="1" applyFill="1" applyBorder="1" applyAlignment="1">
      <x:alignment horizontal="center" vertical="center"/>
    </x:xf>
    <x:xf numFmtId="204" fontId="17" fillId="10" borderId="30" xfId="0" applyNumberFormat="1" applyFont="1" applyFill="1" applyBorder="1" applyAlignment="1">
      <x:alignment horizontal="center" vertical="center"/>
    </x:xf>
    <x:xf numFmtId="204" fontId="17" fillId="10" borderId="0" xfId="0" applyNumberFormat="1" applyFont="1" applyFill="1" applyBorder="1" applyAlignment="1">
      <x:alignment horizontal="center" vertical="center"/>
    </x:xf>
    <x:xf numFmtId="204" fontId="17" fillId="10" borderId="31" xfId="0" applyNumberFormat="1" applyFont="1" applyFill="1" applyBorder="1" applyAlignment="1">
      <x:alignment horizontal="center" vertical="center"/>
    </x:xf>
    <x:xf numFmtId="204" fontId="17" fillId="10" borderId="32" xfId="0" applyNumberFormat="1" applyFont="1" applyFill="1" applyBorder="1" applyAlignment="1">
      <x:alignment horizontal="center" vertical="center"/>
    </x:xf>
    <x:xf numFmtId="204" fontId="17" fillId="10" borderId="33" xfId="0" applyNumberFormat="1" applyFont="1" applyFill="1" applyBorder="1" applyAlignment="1">
      <x:alignment horizontal="center" vertical="center"/>
    </x:xf>
    <x:xf numFmtId="204" fontId="17" fillId="10" borderId="34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16" fillId="11" borderId="0" xfId="0" applyNumberFormat="1" applyFont="1" applyFill="1" applyBorder="1"/>
    <x:xf numFmtId="0" fontId="16" fillId="11" borderId="0" xfId="0" applyNumberFormat="1" applyFont="1" applyFill="1" applyBorder="1" applyAlignment="1">
      <x:alignment horizontal="center"/>
    </x:xf>
    <x:xf numFmtId="0" fontId="16" fillId="11" borderId="0" xfId="0" applyNumberFormat="1" applyFont="1" applyFill="1" applyBorder="1" applyAlignment="1">
      <x:alignment horizontal="center" vertical="center"/>
    </x:xf>
    <x:xf numFmtId="0" fontId="0" fillId="12" borderId="0" xfId="0" applyNumberFormat="1" applyFont="1" applyFill="1" applyBorder="1"/>
    <x:xf numFmtId="0" fontId="16" fillId="12" borderId="0" xfId="0" applyNumberFormat="1" applyFont="1" applyFill="1" applyBorder="1"/>
    <x:xf numFmtId="0" fontId="16" fillId="12" borderId="0" xfId="0" applyNumberFormat="1" applyFont="1" applyFill="1" applyBorder="1" applyAlignment="1">
      <x:alignment horizontal="center"/>
    </x:xf>
    <x:xf numFmtId="0" fontId="16" fillId="12" borderId="0" xfId="0" applyNumberFormat="1" applyFont="1" applyFill="1" applyBorder="1" applyAlignment="1">
      <x:alignment horizontal="center" vertical="center"/>
    </x:xf>
    <x:xf numFmtId="0" fontId="0" fillId="13" borderId="0" xfId="0" applyNumberFormat="1" applyFont="1" applyFill="1" applyBorder="1"/>
    <x:xf numFmtId="0" fontId="16" fillId="13" borderId="0" xfId="0" applyNumberFormat="1" applyFont="1" applyFill="1" applyBorder="1"/>
    <x:xf numFmtId="0" fontId="16" fillId="13" borderId="0" xfId="0" applyNumberFormat="1" applyFont="1" applyFill="1" applyBorder="1" applyAlignment="1">
      <x:alignment horizontal="center"/>
    </x:xf>
    <x:xf numFmtId="0" fontId="16" fillId="13" borderId="0" xfId="0" applyNumberFormat="1" applyFont="1" applyFill="1" applyBorder="1" applyAlignment="1">
      <x:alignment horizontal="center" vertical="center"/>
    </x:xf>
    <x:xf numFmtId="0" fontId="4" fillId="4" borderId="38" xfId="0" applyNumberFormat="1" applyFont="1" applyFill="1" applyBorder="1" applyAlignment="1">
      <x:alignment vertical="center" wrapText="1"/>
    </x:xf>
    <x:xf numFmtId="0" fontId="0" fillId="0" borderId="38" xfId="0" applyNumberFormat="1" applyFont="1" applyFill="1" applyBorder="1"/>
    <x:xf numFmtId="204" fontId="0" fillId="0" borderId="38" xfId="0" applyNumberFormat="1" applyFont="1" applyFill="1" applyBorder="1"/>
    <x:xf numFmtId="205" fontId="0" fillId="0" borderId="38" xfId="0" applyNumberFormat="1" applyFont="1" applyFill="1" applyBorder="1"/>
    <x:xf numFmtId="0" fontId="18" fillId="6" borderId="0" xfId="0" applyNumberFormat="1" applyFont="1" applyFill="1" applyBorder="1"/>
    <x:xf numFmtId="0" fontId="18" fillId="6" borderId="27" xfId="0" applyNumberFormat="1" applyFont="1" applyFill="1" applyBorder="1"/>
    <x:xf numFmtId="0" fontId="18" fillId="6" borderId="28" xfId="0" applyNumberFormat="1" applyFont="1" applyFill="1" applyBorder="1"/>
    <x:xf numFmtId="0" fontId="18" fillId="6" borderId="29" xfId="0" applyNumberFormat="1" applyFont="1" applyFill="1" applyBorder="1"/>
    <x:xf numFmtId="0" fontId="18" fillId="6" borderId="30" xfId="0" applyNumberFormat="1" applyFont="1" applyFill="1" applyBorder="1"/>
    <x:xf numFmtId="0" fontId="18" fillId="6" borderId="31" xfId="0" applyNumberFormat="1" applyFont="1" applyFill="1" applyBorder="1"/>
    <x:xf numFmtId="0" fontId="18" fillId="6" borderId="32" xfId="0" applyNumberFormat="1" applyFont="1" applyFill="1" applyBorder="1"/>
    <x:xf numFmtId="0" fontId="18" fillId="6" borderId="33" xfId="0" applyNumberFormat="1" applyFont="1" applyFill="1" applyBorder="1"/>
    <x:xf numFmtId="0" fontId="18" fillId="6" borderId="34" xfId="0" applyNumberFormat="1" applyFont="1" applyFill="1" applyBorder="1"/>
    <x:xf numFmtId="0" fontId="18" fillId="6" borderId="27" xfId="0" applyNumberFormat="1" applyFont="1" applyFill="1" applyBorder="1" applyAlignment="1">
      <x:alignment wrapText="1"/>
    </x:xf>
    <x:xf numFmtId="0" fontId="18" fillId="6" borderId="28" xfId="0" applyNumberFormat="1" applyFont="1" applyFill="1" applyBorder="1" applyAlignment="1">
      <x:alignment wrapText="1"/>
    </x:xf>
    <x:xf numFmtId="0" fontId="18" fillId="6" borderId="29" xfId="0" applyNumberFormat="1" applyFont="1" applyFill="1" applyBorder="1" applyAlignment="1">
      <x:alignment wrapText="1"/>
    </x:xf>
    <x:xf numFmtId="0" fontId="18" fillId="6" borderId="30" xfId="0" applyNumberFormat="1" applyFont="1" applyFill="1" applyBorder="1" applyAlignment="1">
      <x:alignment wrapText="1"/>
    </x:xf>
    <x:xf numFmtId="0" fontId="18" fillId="6" borderId="0" xfId="0" applyNumberFormat="1" applyFont="1" applyFill="1" applyBorder="1" applyAlignment="1">
      <x:alignment wrapText="1"/>
    </x:xf>
    <x:xf numFmtId="0" fontId="18" fillId="6" borderId="31" xfId="0" applyNumberFormat="1" applyFont="1" applyFill="1" applyBorder="1" applyAlignment="1">
      <x:alignment wrapText="1"/>
    </x:xf>
    <x:xf numFmtId="0" fontId="18" fillId="6" borderId="32" xfId="0" applyNumberFormat="1" applyFont="1" applyFill="1" applyBorder="1" applyAlignment="1">
      <x:alignment wrapText="1"/>
    </x:xf>
    <x:xf numFmtId="0" fontId="18" fillId="6" borderId="33" xfId="0" applyNumberFormat="1" applyFont="1" applyFill="1" applyBorder="1" applyAlignment="1">
      <x:alignment wrapText="1"/>
    </x:xf>
    <x:xf numFmtId="0" fontId="18" fillId="6" borderId="34" xfId="0" applyNumberFormat="1" applyFont="1" applyFill="1" applyBorder="1" applyAlignment="1">
      <x:alignment wrapText="1"/>
    </x:xf>
    <x:xf numFmtId="0" fontId="18" fillId="6" borderId="27" xfId="0" applyNumberFormat="1" applyFont="1" applyFill="1" applyBorder="1" applyAlignment="1">
      <x:alignment vertical="center" wrapText="1"/>
    </x:xf>
    <x:xf numFmtId="0" fontId="18" fillId="6" borderId="28" xfId="0" applyNumberFormat="1" applyFont="1" applyFill="1" applyBorder="1" applyAlignment="1">
      <x:alignment vertical="center" wrapText="1"/>
    </x:xf>
    <x:xf numFmtId="0" fontId="18" fillId="6" borderId="29" xfId="0" applyNumberFormat="1" applyFont="1" applyFill="1" applyBorder="1" applyAlignment="1">
      <x:alignment vertical="center" wrapText="1"/>
    </x:xf>
    <x:xf numFmtId="0" fontId="18" fillId="6" borderId="30" xfId="0" applyNumberFormat="1" applyFont="1" applyFill="1" applyBorder="1" applyAlignment="1">
      <x:alignment vertical="center" wrapText="1"/>
    </x:xf>
    <x:xf numFmtId="0" fontId="18" fillId="6" borderId="0" xfId="0" applyNumberFormat="1" applyFont="1" applyFill="1" applyBorder="1" applyAlignment="1">
      <x:alignment vertical="center" wrapText="1"/>
    </x:xf>
    <x:xf numFmtId="0" fontId="18" fillId="6" borderId="31" xfId="0" applyNumberFormat="1" applyFont="1" applyFill="1" applyBorder="1" applyAlignment="1">
      <x:alignment vertical="center" wrapText="1"/>
    </x:xf>
    <x:xf numFmtId="0" fontId="18" fillId="6" borderId="32" xfId="0" applyNumberFormat="1" applyFont="1" applyFill="1" applyBorder="1" applyAlignment="1">
      <x:alignment vertical="center" wrapText="1"/>
    </x:xf>
    <x:xf numFmtId="0" fontId="18" fillId="6" borderId="33" xfId="0" applyNumberFormat="1" applyFont="1" applyFill="1" applyBorder="1" applyAlignment="1">
      <x:alignment vertical="center" wrapText="1"/>
    </x:xf>
    <x:xf numFmtId="0" fontId="18" fillId="6" borderId="34" xfId="0" applyNumberFormat="1" applyFont="1" applyFill="1" applyBorder="1" applyAlignment="1">
      <x:alignment vertical="center" wrapText="1"/>
    </x:xf>
    <x:xf numFmtId="0" fontId="19" fillId="5" borderId="0" xfId="0" applyNumberFormat="1" applyFont="1" applyFill="1" applyBorder="1"/>
    <x:xf numFmtId="0" fontId="19" fillId="5" borderId="13" xfId="0" applyNumberFormat="1" applyFont="1" applyFill="1" applyBorder="1"/>
    <x:xf numFmtId="0" fontId="19" fillId="5" borderId="25" xfId="0" applyNumberFormat="1" applyFont="1" applyFill="1" applyBorder="1"/>
    <x:xf numFmtId="0" fontId="19" fillId="5" borderId="14" xfId="0" applyNumberFormat="1" applyFont="1" applyFill="1" applyBorder="1"/>
    <x:xf numFmtId="0" fontId="19" fillId="5" borderId="15" xfId="0" applyNumberFormat="1" applyFont="1" applyFill="1" applyBorder="1"/>
    <x:xf numFmtId="0" fontId="19" fillId="5" borderId="16" xfId="0" applyNumberFormat="1" applyFont="1" applyFill="1" applyBorder="1"/>
    <x:xf numFmtId="0" fontId="19" fillId="5" borderId="17" xfId="0" applyNumberFormat="1" applyFont="1" applyFill="1" applyBorder="1"/>
    <x:xf numFmtId="0" fontId="19" fillId="5" borderId="26" xfId="0" applyNumberFormat="1" applyFont="1" applyFill="1" applyBorder="1"/>
    <x:xf numFmtId="0" fontId="19" fillId="5" borderId="18" xfId="0" applyNumberFormat="1" applyFont="1" applyFill="1" applyBorder="1"/>
    <x:xf numFmtId="0" fontId="19" fillId="5" borderId="13" xfId="0" applyNumberFormat="1" applyFont="1" applyFill="1" applyBorder="1" applyAlignment="1">
      <x:alignment wrapText="1"/>
    </x:xf>
    <x:xf numFmtId="0" fontId="19" fillId="5" borderId="25" xfId="0" applyNumberFormat="1" applyFont="1" applyFill="1" applyBorder="1" applyAlignment="1">
      <x:alignment wrapText="1"/>
    </x:xf>
    <x:xf numFmtId="0" fontId="19" fillId="5" borderId="14" xfId="0" applyNumberFormat="1" applyFont="1" applyFill="1" applyBorder="1" applyAlignment="1">
      <x:alignment wrapText="1"/>
    </x:xf>
    <x:xf numFmtId="0" fontId="19" fillId="5" borderId="15" xfId="0" applyNumberFormat="1" applyFont="1" applyFill="1" applyBorder="1" applyAlignment="1">
      <x:alignment wrapText="1"/>
    </x:xf>
    <x:xf numFmtId="0" fontId="19" fillId="5" borderId="0" xfId="0" applyNumberFormat="1" applyFont="1" applyFill="1" applyBorder="1" applyAlignment="1">
      <x:alignment wrapText="1"/>
    </x:xf>
    <x:xf numFmtId="0" fontId="19" fillId="5" borderId="16" xfId="0" applyNumberFormat="1" applyFont="1" applyFill="1" applyBorder="1" applyAlignment="1">
      <x:alignment wrapText="1"/>
    </x:xf>
    <x:xf numFmtId="0" fontId="19" fillId="5" borderId="17" xfId="0" applyNumberFormat="1" applyFont="1" applyFill="1" applyBorder="1" applyAlignment="1">
      <x:alignment wrapText="1"/>
    </x:xf>
    <x:xf numFmtId="0" fontId="19" fillId="5" borderId="26" xfId="0" applyNumberFormat="1" applyFont="1" applyFill="1" applyBorder="1" applyAlignment="1">
      <x:alignment wrapText="1"/>
    </x:xf>
    <x:xf numFmtId="0" fontId="19" fillId="5" borderId="18" xfId="0" applyNumberFormat="1" applyFont="1" applyFill="1" applyBorder="1" applyAlignment="1">
      <x:alignment wrapText="1"/>
    </x:xf>
    <x:xf numFmtId="0" fontId="19" fillId="5" borderId="13" xfId="0" applyNumberFormat="1" applyFont="1" applyFill="1" applyBorder="1" applyAlignment="1">
      <x:alignment vertical="center" wrapText="1"/>
    </x:xf>
    <x:xf numFmtId="0" fontId="19" fillId="5" borderId="25" xfId="0" applyNumberFormat="1" applyFont="1" applyFill="1" applyBorder="1" applyAlignment="1">
      <x:alignment vertical="center" wrapText="1"/>
    </x:xf>
    <x:xf numFmtId="0" fontId="19" fillId="5" borderId="14" xfId="0" applyNumberFormat="1" applyFont="1" applyFill="1" applyBorder="1" applyAlignment="1">
      <x:alignment vertical="center" wrapText="1"/>
    </x:xf>
    <x:xf numFmtId="0" fontId="19" fillId="5" borderId="15" xfId="0" applyNumberFormat="1" applyFont="1" applyFill="1" applyBorder="1" applyAlignment="1">
      <x:alignment vertical="center" wrapText="1"/>
    </x:xf>
    <x:xf numFmtId="0" fontId="19" fillId="5" borderId="0" xfId="0" applyNumberFormat="1" applyFont="1" applyFill="1" applyBorder="1" applyAlignment="1">
      <x:alignment vertical="center" wrapText="1"/>
    </x:xf>
    <x:xf numFmtId="0" fontId="19" fillId="5" borderId="16" xfId="0" applyNumberFormat="1" applyFont="1" applyFill="1" applyBorder="1" applyAlignment="1">
      <x:alignment vertical="center" wrapText="1"/>
    </x:xf>
    <x:xf numFmtId="0" fontId="19" fillId="5" borderId="17" xfId="0" applyNumberFormat="1" applyFont="1" applyFill="1" applyBorder="1" applyAlignment="1">
      <x:alignment vertical="center" wrapText="1"/>
    </x:xf>
    <x:xf numFmtId="0" fontId="19" fillId="5" borderId="26" xfId="0" applyNumberFormat="1" applyFont="1" applyFill="1" applyBorder="1" applyAlignment="1">
      <x:alignment vertical="center" wrapText="1"/>
    </x:xf>
    <x:xf numFmtId="0" fontId="19" fillId="5" borderId="18" xfId="0" applyNumberFormat="1" applyFont="1" applyFill="1" applyBorder="1" applyAlignment="1">
      <x:alignment vertical="center" wrapText="1"/>
    </x:xf>
    <x:xf numFmtId="206" fontId="0" fillId="0" borderId="38" xfId="0" applyNumberFormat="1" applyFont="1" applyFill="1" applyBorder="1"/>
    <x:xf numFmtId="0" fontId="20" fillId="2" borderId="0" xfId="0" applyNumberFormat="1" applyFont="1" applyFill="1" applyBorder="1"/>
    <x:xf numFmtId="0" fontId="20" fillId="2" borderId="0" xfId="0" applyNumberFormat="1" applyFont="1" applyFill="1" applyBorder="1" applyAlignment="1">
      <x:alignment horizontal="center"/>
    </x:xf>
    <x:xf numFmtId="0" fontId="20" fillId="2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8" fillId="0" borderId="7" xfId="0" applyNumberFormat="1" applyFont="1" applyFill="1" applyBorder="1" applyAlignment="1">
      <x:alignment vertical="center"/>
    </x:xf>
    <x:xf numFmtId="203" fontId="8" fillId="0" borderId="7" xfId="0" applyNumberFormat="1" applyFont="1" applyFill="1" applyBorder="1" applyAlignment="1">
      <x:alignment vertical="center"/>
    </x:xf>
    <x:xf numFmtId="203" fontId="9" fillId="0" borderId="7" xfId="0" applyNumberFormat="1" applyFont="1" applyFill="1" applyBorder="1" applyAlignment="1">
      <x:alignment vertical="center"/>
    </x:xf>
    <x:xf numFmtId="0" fontId="8" fillId="0" borderId="9" xfId="0" applyNumberFormat="1" applyFont="1" applyFill="1" applyBorder="1" applyAlignment="1">
      <x:alignment vertical="center"/>
    </x:xf>
    <x:xf numFmtId="203" fontId="8" fillId="0" borderId="9" xfId="0" applyNumberFormat="1" applyFont="1" applyFill="1" applyBorder="1" applyAlignment="1">
      <x:alignment vertical="center"/>
    </x:xf>
    <x:xf numFmtId="203" fontId="9" fillId="0" borderId="9" xfId="0" applyNumberFormat="1" applyFont="1" applyFill="1" applyBorder="1" applyAlignment="1">
      <x:alignment vertical="center"/>
    </x:xf>
    <x:xf numFmtId="0" fontId="8" fillId="0" borderId="11" xfId="0" applyNumberFormat="1" applyFont="1" applyFill="1" applyBorder="1" applyAlignment="1">
      <x:alignment vertical="center"/>
    </x:xf>
    <x:xf numFmtId="203" fontId="8" fillId="0" borderId="11" xfId="0" applyNumberFormat="1" applyFont="1" applyFill="1" applyBorder="1" applyAlignment="1">
      <x:alignment vertical="center"/>
    </x:xf>
    <x:xf numFmtId="203" fontId="9" fillId="0" borderId="11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0" fontId="10" fillId="6" borderId="27" xfId="0" applyNumberFormat="1" applyFont="1" applyFill="1" applyBorder="1" applyAlignment="1">
      <x:alignment vertical="center"/>
    </x:xf>
    <x:xf numFmtId="0" fontId="10" fillId="6" borderId="28" xfId="0" applyNumberFormat="1" applyFont="1" applyFill="1" applyBorder="1" applyAlignment="1">
      <x:alignment vertical="center"/>
    </x:xf>
    <x:xf numFmtId="203" fontId="10" fillId="6" borderId="28" xfId="0" applyNumberFormat="1" applyFont="1" applyFill="1" applyBorder="1" applyAlignment="1">
      <x:alignment vertical="center"/>
    </x:xf>
    <x:xf numFmtId="203" fontId="10" fillId="6" borderId="29" xfId="0" applyNumberFormat="1" applyFont="1" applyFill="1" applyBorder="1" applyAlignment="1">
      <x:alignment vertical="center"/>
    </x:xf>
    <x:xf numFmtId="0" fontId="10" fillId="6" borderId="30" xfId="0" applyNumberFormat="1" applyFont="1" applyFill="1" applyBorder="1" applyAlignment="1">
      <x:alignment vertical="center"/>
    </x:xf>
    <x:xf numFmtId="0" fontId="10" fillId="6" borderId="0" xfId="0" applyNumberFormat="1" applyFont="1" applyFill="1" applyBorder="1" applyAlignment="1">
      <x:alignment vertical="center"/>
    </x:xf>
    <x:xf numFmtId="203" fontId="10" fillId="6" borderId="0" xfId="0" applyNumberFormat="1" applyFont="1" applyFill="1" applyBorder="1" applyAlignment="1">
      <x:alignment vertical="center"/>
    </x:xf>
    <x:xf numFmtId="203" fontId="10" fillId="6" borderId="31" xfId="0" applyNumberFormat="1" applyFont="1" applyFill="1" applyBorder="1" applyAlignment="1">
      <x:alignment vertical="center"/>
    </x:xf>
    <x:xf numFmtId="0" fontId="10" fillId="7" borderId="32" xfId="0" applyNumberFormat="1" applyFont="1" applyFill="1" applyBorder="1" applyAlignment="1">
      <x:alignment vertical="center"/>
    </x:xf>
    <x:xf numFmtId="0" fontId="10" fillId="7" borderId="33" xfId="0" applyNumberFormat="1" applyFont="1" applyFill="1" applyBorder="1" applyAlignment="1">
      <x:alignment vertical="center"/>
    </x:xf>
    <x:xf numFmtId="203" fontId="10" fillId="7" borderId="33" xfId="0" applyNumberFormat="1" applyFont="1" applyFill="1" applyBorder="1" applyAlignment="1">
      <x:alignment vertical="center"/>
    </x:xf>
    <x:xf numFmtId="203" fontId="11" fillId="7" borderId="33" xfId="0" applyNumberFormat="1" applyFont="1" applyFill="1" applyBorder="1" applyAlignment="1">
      <x:alignment vertical="center"/>
    </x:xf>
    <x:xf numFmtId="203" fontId="11" fillId="7" borderId="34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203" fontId="12" fillId="0" borderId="7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/>
    </x:xf>
    <x:xf numFmtId="203" fontId="12" fillId="0" borderId="9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/>
    </x:xf>
    <x:xf numFmtId="203" fontId="12" fillId="0" borderId="11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 wrapText="1"/>
    </x:xf>
    <x:xf numFmtId="203" fontId="12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14" fillId="6" borderId="27" xfId="0" applyNumberFormat="1" applyFont="1" applyFill="1" applyBorder="1" applyAlignment="1">
      <x:alignment vertical="center"/>
    </x:xf>
    <x:xf numFmtId="0" fontId="14" fillId="6" borderId="28" xfId="0" applyNumberFormat="1" applyFont="1" applyFill="1" applyBorder="1" applyAlignment="1">
      <x:alignment vertical="center"/>
    </x:xf>
    <x:xf numFmtId="203" fontId="14" fillId="6" borderId="28" xfId="0" applyNumberFormat="1" applyFont="1" applyFill="1" applyBorder="1" applyAlignment="1">
      <x:alignment vertical="center"/>
    </x:xf>
    <x:xf numFmtId="203" fontId="14" fillId="6" borderId="29" xfId="0" applyNumberFormat="1" applyFont="1" applyFill="1" applyBorder="1" applyAlignment="1">
      <x:alignment vertical="center"/>
    </x:xf>
    <x:xf numFmtId="0" fontId="14" fillId="6" borderId="30" xfId="0" applyNumberFormat="1" applyFont="1" applyFill="1" applyBorder="1" applyAlignment="1">
      <x:alignment vertical="center"/>
    </x:xf>
    <x:xf numFmtId="0" fontId="14" fillId="6" borderId="0" xfId="0" applyNumberFormat="1" applyFont="1" applyFill="1" applyBorder="1" applyAlignment="1">
      <x:alignment vertical="center"/>
    </x:xf>
    <x:xf numFmtId="203" fontId="14" fillId="6" borderId="0" xfId="0" applyNumberFormat="1" applyFont="1" applyFill="1" applyBorder="1" applyAlignment="1">
      <x:alignment vertical="center"/>
    </x:xf>
    <x:xf numFmtId="203" fontId="14" fillId="6" borderId="31" xfId="0" applyNumberFormat="1" applyFont="1" applyFill="1" applyBorder="1" applyAlignment="1">
      <x:alignment vertical="center"/>
    </x:xf>
    <x:xf numFmtId="0" fontId="14" fillId="7" borderId="30" xfId="0" applyNumberFormat="1" applyFont="1" applyFill="1" applyBorder="1" applyAlignment="1">
      <x:alignment vertical="center"/>
    </x:xf>
    <x:xf numFmtId="0" fontId="14" fillId="7" borderId="0" xfId="0" applyNumberFormat="1" applyFont="1" applyFill="1" applyBorder="1" applyAlignment="1">
      <x:alignment vertical="center"/>
    </x:xf>
    <x:xf numFmtId="203" fontId="14" fillId="7" borderId="0" xfId="0" applyNumberFormat="1" applyFont="1" applyFill="1" applyBorder="1" applyAlignment="1">
      <x:alignment vertical="center"/>
    </x:xf>
    <x:xf numFmtId="203" fontId="11" fillId="7" borderId="0" xfId="0" applyNumberFormat="1" applyFont="1" applyFill="1" applyBorder="1" applyAlignment="1">
      <x:alignment vertical="center"/>
    </x:xf>
    <x:xf numFmtId="203" fontId="11" fillId="7" borderId="31" xfId="0" applyNumberFormat="1" applyFont="1" applyFill="1" applyBorder="1" applyAlignment="1">
      <x:alignment vertical="center"/>
    </x:xf>
    <x:xf numFmtId="0" fontId="14" fillId="6" borderId="32" xfId="0" applyNumberFormat="1" applyFont="1" applyFill="1" applyBorder="1" applyAlignment="1">
      <x:alignment vertical="center"/>
    </x:xf>
    <x:xf numFmtId="0" fontId="14" fillId="6" borderId="33" xfId="0" applyNumberFormat="1" applyFont="1" applyFill="1" applyBorder="1" applyAlignment="1">
      <x:alignment vertical="center"/>
    </x:xf>
    <x:xf numFmtId="203" fontId="14" fillId="6" borderId="33" xfId="0" applyNumberFormat="1" applyFont="1" applyFill="1" applyBorder="1" applyAlignment="1">
      <x:alignment vertical="center"/>
    </x:xf>
    <x:xf numFmtId="203" fontId="14" fillId="6" borderId="34" xfId="0" applyNumberFormat="1" applyFont="1" applyFill="1" applyBorder="1" applyAlignment="1">
      <x:alignment vertical="center"/>
    </x:xf>
    <x:xf numFmtId="0" fontId="15" fillId="8" borderId="35" xfId="0" applyNumberFormat="1" applyFont="1" applyFill="1" applyBorder="1" applyAlignment="1">
      <x:alignment vertical="center"/>
    </x:xf>
    <x:xf numFmtId="0" fontId="15" fillId="8" borderId="36" xfId="0" applyNumberFormat="1" applyFont="1" applyFill="1" applyBorder="1" applyAlignment="1">
      <x:alignment vertical="center"/>
    </x:xf>
    <x:xf numFmtId="203" fontId="15" fillId="8" borderId="36" xfId="0" applyNumberFormat="1" applyFont="1" applyFill="1" applyBorder="1" applyAlignment="1">
      <x:alignment vertical="center"/>
    </x:xf>
    <x:xf numFmtId="203" fontId="15" fillId="8" borderId="37" xfId="0" applyNumberFormat="1" applyFont="1" applyFill="1" applyBorder="1" applyAlignment="1">
      <x:alignment vertical="center"/>
    </x:xf>
    <x:xf numFmtId="204" fontId="12" fillId="0" borderId="7" xfId="0" applyNumberFormat="1" applyFont="1" applyFill="1" applyBorder="1" applyAlignment="1">
      <x:alignment vertical="center"/>
    </x:xf>
    <x:xf numFmtId="204" fontId="12" fillId="0" borderId="9" xfId="0" applyNumberFormat="1" applyFont="1" applyFill="1" applyBorder="1" applyAlignment="1">
      <x:alignment vertical="center"/>
    </x:xf>
    <x:xf numFmtId="204" fontId="12" fillId="0" borderId="11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 applyAlignment="1">
      <x:alignment vertical="center"/>
    </x:xf>
    <x:xf numFmtId="0" fontId="14" fillId="7" borderId="27" xfId="0" applyNumberFormat="1" applyFont="1" applyFill="1" applyBorder="1" applyAlignment="1">
      <x:alignment vertical="center"/>
    </x:xf>
    <x:xf numFmtId="204" fontId="14" fillId="7" borderId="28" xfId="0" applyNumberFormat="1" applyFont="1" applyFill="1" applyBorder="1" applyAlignment="1">
      <x:alignment vertical="center"/>
    </x:xf>
    <x:xf numFmtId="0" fontId="14" fillId="7" borderId="28" xfId="0" applyNumberFormat="1" applyFont="1" applyFill="1" applyBorder="1" applyAlignment="1">
      <x:alignment vertical="center" wrapText="1"/>
    </x:xf>
    <x:xf numFmtId="0" fontId="14" fillId="7" borderId="28" xfId="0" applyNumberFormat="1" applyFont="1" applyFill="1" applyBorder="1" applyAlignment="1">
      <x:alignment vertical="center"/>
    </x:xf>
    <x:xf numFmtId="0" fontId="14" fillId="7" borderId="29" xfId="0" applyNumberFormat="1" applyFont="1" applyFill="1" applyBorder="1" applyAlignment="1">
      <x:alignment vertical="center"/>
    </x:xf>
    <x:xf numFmtId="204" fontId="14" fillId="6" borderId="0" xfId="0" applyNumberFormat="1" applyFont="1" applyFill="1" applyBorder="1" applyAlignment="1">
      <x:alignment vertical="center"/>
    </x:xf>
    <x:xf numFmtId="0" fontId="14" fillId="6" borderId="0" xfId="0" applyNumberFormat="1" applyFont="1" applyFill="1" applyBorder="1" applyAlignment="1">
      <x:alignment vertical="center" wrapText="1"/>
    </x:xf>
    <x:xf numFmtId="0" fontId="14" fillId="6" borderId="31" xfId="0" applyNumberFormat="1" applyFont="1" applyFill="1" applyBorder="1" applyAlignment="1">
      <x:alignment vertical="center"/>
    </x:xf>
    <x:xf numFmtId="0" fontId="14" fillId="9" borderId="30" xfId="0" applyNumberFormat="1" applyFont="1" applyFill="1" applyBorder="1" applyAlignment="1">
      <x:alignment vertical="center"/>
    </x:xf>
    <x:xf numFmtId="204" fontId="14" fillId="9" borderId="0" xfId="0" applyNumberFormat="1" applyFont="1" applyFill="1" applyBorder="1" applyAlignment="1">
      <x:alignment vertical="center"/>
    </x:xf>
    <x:xf numFmtId="0" fontId="14" fillId="9" borderId="0" xfId="0" applyNumberFormat="1" applyFont="1" applyFill="1" applyBorder="1" applyAlignment="1">
      <x:alignment vertical="center" wrapText="1"/>
    </x:xf>
    <x:xf numFmtId="0" fontId="14" fillId="9" borderId="0" xfId="0" applyNumberFormat="1" applyFont="1" applyFill="1" applyBorder="1" applyAlignment="1">
      <x:alignment vertical="center"/>
    </x:xf>
    <x:xf numFmtId="0" fontId="14" fillId="9" borderId="31" xfId="0" applyNumberFormat="1" applyFont="1" applyFill="1" applyBorder="1" applyAlignment="1">
      <x:alignment vertical="center"/>
    </x:xf>
    <x:xf numFmtId="0" fontId="14" fillId="5" borderId="32" xfId="0" applyNumberFormat="1" applyFont="1" applyFill="1" applyBorder="1" applyAlignment="1">
      <x:alignment vertical="center"/>
    </x:xf>
    <x:xf numFmtId="204" fontId="14" fillId="5" borderId="33" xfId="0" applyNumberFormat="1" applyFont="1" applyFill="1" applyBorder="1" applyAlignment="1">
      <x:alignment vertical="center"/>
    </x:xf>
    <x:xf numFmtId="0" fontId="14" fillId="5" borderId="33" xfId="0" applyNumberFormat="1" applyFont="1" applyFill="1" applyBorder="1" applyAlignment="1">
      <x:alignment vertical="center" wrapText="1"/>
    </x:xf>
    <x:xf numFmtId="0" fontId="14" fillId="5" borderId="33" xfId="0" applyNumberFormat="1" applyFont="1" applyFill="1" applyBorder="1" applyAlignment="1">
      <x:alignment vertical="center"/>
    </x:xf>
    <x:xf numFmtId="0" fontId="14" fillId="5" borderId="34" xfId="0" applyNumberFormat="1" applyFont="1" applyFill="1" applyBorder="1" applyAlignment="1">
      <x:alignment vertical="center"/>
    </x:xf>
    <x:xf numFmtId="0" fontId="0" fillId="0" borderId="38" xfId="0" applyNumberFormat="1" applyFont="1" applyFill="1" applyBorder="1" applyAlignment="1">
      <x:alignment vertical="center"/>
    </x:xf>
    <x:xf numFmtId="206" fontId="0" fillId="0" borderId="38" xfId="0" applyNumberFormat="1" applyFont="1" applyFill="1" applyBorder="1" applyAlignment="1">
      <x:alignment vertical="center"/>
    </x:xf>
    <x:xf numFmtId="0" fontId="8" fillId="0" borderId="7" xfId="0" applyNumberFormat="1" applyFont="1" applyFill="1" applyBorder="1" applyAlignment="1">
      <x:alignment vertical="center" wrapText="1"/>
    </x:xf>
    <x:xf numFmtId="0" fontId="8" fillId="0" borderId="9" xfId="0" applyNumberFormat="1" applyFont="1" applyFill="1" applyBorder="1" applyAlignment="1">
      <x:alignment vertical="center" wrapText="1"/>
    </x:xf>
    <x:xf numFmtId="0" fontId="8" fillId="0" borderId="11" xfId="0" applyNumberFormat="1" applyFont="1" applyFill="1" applyBorder="1" applyAlignment="1">
      <x:alignment vertical="center" wrapText="1"/>
    </x:xf>
    <x:xf numFmtId="0" fontId="14" fillId="7" borderId="29" xfId="0" applyNumberFormat="1" applyFont="1" applyFill="1" applyBorder="1" applyAlignment="1">
      <x:alignment vertical="center" wrapText="1"/>
    </x:xf>
    <x:xf numFmtId="0" fontId="14" fillId="6" borderId="31" xfId="0" applyNumberFormat="1" applyFont="1" applyFill="1" applyBorder="1" applyAlignment="1">
      <x:alignment vertical="center" wrapText="1"/>
    </x:xf>
    <x:xf numFmtId="0" fontId="14" fillId="9" borderId="31" xfId="0" applyNumberFormat="1" applyFont="1" applyFill="1" applyBorder="1" applyAlignment="1">
      <x:alignment vertical="center" wrapText="1"/>
    </x:xf>
    <x:xf numFmtId="0" fontId="14" fillId="5" borderId="34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FFFFFF"/>
      </x:font>
      <x:fill>
        <x:patternFill patternType="solid">
          <x:bgColor rgb="FF15803D"/>
        </x:patternFill>
      </x:fill>
    </x:dxf>
    <x:dxf>
      <x:font>
        <x:b/>
        <x:color rgb="FFFFFFFF"/>
      </x:font>
      <x:fill>
        <x:patternFill patternType="solid">
          <x:bgColor rgb="FFB91C1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c9c9218c7a4040" /><Relationship Type="http://schemas.openxmlformats.org/officeDocument/2006/relationships/theme" Target="/xl/theme/theme1.xml" Id="R1c25a0a0e0e145a4" /><Relationship Type="http://schemas.openxmlformats.org/officeDocument/2006/relationships/sharedStrings" Target="/xl/sharedStrings.xml" Id="R97cb5968fd3a4cc0" /><Relationship Type="http://schemas.openxmlformats.org/officeDocument/2006/relationships/worksheet" Target="/xl/worksheets/sheet1.xml" Id="Rdb84abb57f954bc1" /><Relationship Type="http://schemas.openxmlformats.org/officeDocument/2006/relationships/worksheet" Target="/xl/worksheets/sheet2.xml" Id="R73162b0739b74e5c" /><Relationship Type="http://schemas.openxmlformats.org/officeDocument/2006/relationships/worksheet" Target="/xl/worksheets/sheet3.xml" Id="R575a799127424e15" /><Relationship Type="http://schemas.openxmlformats.org/officeDocument/2006/relationships/worksheet" Target="/xl/worksheets/sheet4.xml" Id="Rcae0b61098324b99" /><Relationship Type="http://schemas.openxmlformats.org/officeDocument/2006/relationships/worksheet" Target="/xl/worksheets/sheet5.xml" Id="Rbd942f73dd504530" /><Relationship Type="http://schemas.openxmlformats.org/officeDocument/2006/relationships/worksheet" Target="/xl/worksheets/sheet6.xml" Id="R0912f528ae92444c" /><Relationship Type="http://schemas.openxmlformats.org/officeDocument/2006/relationships/worksheet" Target="/xl/worksheets/sheet7.xml" Id="R4363cbe91afa459b" /><Relationship Type="http://schemas.openxmlformats.org/officeDocument/2006/relationships/worksheet" Target="/xl/worksheets/sheet8.xml" Id="R157ce16517844b3e" /><Relationship Type="http://schemas.microsoft.com/office/2017/10/relationships/person" Target="/xl/persons/person.xml" Id="Rf89088c9d68d40f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ca6501d9f074a4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Custo mensal estimado por cenário (USD)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Batch USD</c:v>
          </c:tx>
          <c:cat>
            <c:strRef>
              <c:f>'Resumo'!$A$12:$A$14</c:f>
              <c:strCache>
                <c:ptCount val="0"/>
              </c:strCache>
            </c:strRef>
          </c:cat>
          <c:val>
            <c:numRef>
              <c:f>'Resumo'!$B$12:$B$14</c:f>
              <c:numCache>
                <c:formatCode>$#,##0.00</c:formatCode>
                <c:ptCount val="0"/>
              </c:numCache>
            </c:numRef>
          </c:val>
        </c:ser>
        <c:ser>
          <c:idx val="1"/>
          <c:order val="1"/>
          <c:tx>
            <c:v>NRT USD</c:v>
          </c:tx>
          <c:cat>
            <c:strRef>
              <c:f>'Resumo'!$A$12:$A$14</c:f>
              <c:strCache>
                <c:ptCount val="0"/>
              </c:strCache>
            </c:strRef>
          </c:cat>
          <c:val>
            <c:numRef>
              <c:f>'Resumo'!$C$12:$C$14</c:f>
              <c:numCache>
                <c:formatCode>$#,##0.00</c:formatCode>
                <c:ptCount val="0"/>
              </c:numCache>
            </c:numRef>
          </c:val>
        </c:ser>
        <c:ser>
          <c:idx val="2"/>
          <c:order val="2"/>
          <c:tx>
            <c:v>Total USD</c:v>
          </c:tx>
          <c:cat>
            <c:strRef>
              <c:f>'Resumo'!$A$12:$A$14</c:f>
              <c:strCache>
                <c:ptCount val="0"/>
              </c:strCache>
            </c:strRef>
          </c:cat>
          <c:val>
            <c:numRef>
              <c:f>'Resumo'!$D$12:$D$14</c:f>
              <c:numCache>
                <c:formatCode>$#,##0.00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9</xdr:row>
      <xdr:rowOff>0</xdr:rowOff>
    </xdr:from>
    <xdr:to>
      <xdr:col>14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ca6501d9f074a4d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Leonardo Lucas Pereira" id="{69F6FE37-099D-4DFC-907A-D29AD63DA16F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7" dT="2026-08-06T23:26:01.969" personId="{69F6FE37-099D-4DFC-907A-D29AD63DA16F}" id="{C439F175-2637-754A-9813-72CF4135F547}">
    <xltc:text>Fonte: https://aws.amazon.com/s3/pricing/
Armazenamento S3 Standard.
Acesso: 2026-08-06</xltc:text>
  </xltc:threadedComment>
  <xltc:threadedComment ref="B8" dT="2026-08-06T23:26:01.969" personId="{69F6FE37-099D-4DFC-907A-D29AD63DA16F}" id="{6C8E83D3-EF70-3519-747A-A74AF0CABF9B}">
    <xltc:text>Fonte: https://aws.amazon.com/s3/pricing/
Solicitações PUT/COPY/POST/LIST.
Acesso: 2026-08-06</xltc:text>
  </xltc:threadedComment>
  <xltc:threadedComment ref="B9" dT="2026-08-06T23:26:01.969" personId="{69F6FE37-099D-4DFC-907A-D29AD63DA16F}" id="{F4DFFC04-6C69-A8A7-B12F-8376306A8AAA}">
    <xltc:text>Fonte: https://aws.amazon.com/s3/pricing/
Solicitações GET.
Acesso: 2026-08-06</xltc:text>
  </xltc:threadedComment>
  <xltc:threadedComment ref="B10" dT="2026-08-06T23:26:01.969" personId="{69F6FE37-099D-4DFC-907A-D29AD63DA16F}" id="{61198D6C-FD79-B046-3093-72CB8A21BE57}">
    <xltc:text>Fonte: https://aws.amazon.com/glue/pricing/
Glue ETL e Crawler por DPU-hora.
Acesso: 2026-08-06</xltc:text>
  </xltc:threadedComment>
  <xltc:threadedComment ref="B11" dT="2026-08-06T23:26:01.969" personId="{69F6FE37-099D-4DFC-907A-D29AD63DA16F}" id="{801F18EB-6D80-9DF9-3F72-3325B0933AAC}">
    <xltc:text>Fonte: https://aws.amazon.com/athena/pricing/
Athena por TB lido.
Acesso: 2026-08-06</xltc:text>
  </xltc:threadedComment>
  <xltc:threadedComment ref="B12" dT="2026-08-06T23:26:01.969" personId="{69F6FE37-099D-4DFC-907A-D29AD63DA16F}" id="{94C7179D-000D-29C9-6F92-BEF7F1C82ECF}">
    <xltc:text>Fonte: https://aws.amazon.com/lambda/pricing/
Lambda ARM por GB-segundo.
Acesso: 2026-08-06</xltc:text>
  </xltc:threadedComment>
  <xltc:threadedComment ref="B13" dT="2026-08-06T23:26:01.969" personId="{69F6FE37-099D-4DFC-907A-D29AD63DA16F}" id="{806DF853-112F-9493-1737-D4E997D71382}">
    <xltc:text>Fonte: https://aws.amazon.com/lambda/pricing/
Solicitações Lambda.
Acesso: 2026-08-06</xltc:text>
  </xltc:threadedComment>
  <xltc:threadedComment ref="B14" dT="2026-08-06T23:26:01.969" personId="{69F6FE37-099D-4DFC-907A-D29AD63DA16F}" id="{5693352F-99C0-FE4F-A889-FC31BFACED0D}">
    <xltc:text>Fonte: https://aws.amazon.com/step-functions/pricing/
Workflows Standard por transição.
Acesso: 2026-08-06</xltc:text>
  </xltc:threadedComment>
  <xltc:threadedComment ref="B15" dT="2026-08-06T23:26:01.969" personId="{69F6FE37-099D-4DFC-907A-D29AD63DA16F}" id="{3C119570-38BC-4E60-4B40-E85D79C135C4}">
    <xltc:text>Fonte: https://aws.amazon.com/secrets-manager/pricing/
Segredo por mês.
Acesso: 2026-08-06</xltc:text>
  </xltc:threadedComment>
  <xltc:threadedComment ref="B16" dT="2026-08-06T23:26:01.97" personId="{69F6FE37-099D-4DFC-907A-D29AD63DA16F}" id="{5D0FD42A-3213-2305-E542-CE918D93F13C}">
    <xltc:text>Fonte: https://aws.amazon.com/secrets-manager/pricing/
Chamadas à API do Secrets Manager.
Acesso: 2026-08-06</xltc:text>
  </xltc:threadedComment>
  <xltc:threadedComment ref="B17" dT="2026-08-06T23:26:01.97" personId="{69F6FE37-099D-4DFC-907A-D29AD63DA16F}" id="{897D0FA5-406A-E91E-20FE-006A4D4D1AD4}">
    <xltc:text>Fonte: https://aws.amazon.com/cloudwatch/pricing/
Ingestão de CloudWatch Logs.
Acesso: 2026-08-06</xltc:text>
  </xltc:threadedComment>
  <xltc:threadedComment ref="B18" dT="2026-08-06T23:26:01.97" personId="{69F6FE37-099D-4DFC-907A-D29AD63DA16F}" id="{93A31124-2009-FC31-CF90-3E6DDF85EB01}">
    <xltc:text>Fonte: https://aws.amazon.com/cloudwatch/pricing/
Retenção de logs.
Acesso: 2026-08-06</xltc:text>
  </xltc:threadedComment>
  <xltc:threadedComment ref="B19" dT="2026-08-06T23:26:01.97" personId="{69F6FE37-099D-4DFC-907A-D29AD63DA16F}" id="{C57191FB-87E8-D430-7537-37D9F5F7FAA1}">
    <xltc:text>Fonte: https://aws.amazon.com/cloudwatch/pricing/
Alarmes padrão.
Acesso: 2026-08-06</xltc:text>
  </xltc:threadedComment>
  <xltc:threadedComment ref="B20" dT="2026-08-06T23:26:01.97" personId="{69F6FE37-099D-4DFC-907A-D29AD63DA16F}" id="{31CCA25A-ED94-4803-20C4-CE2DE8675BDE}">
    <xltc:text>Fonte: https://aws.amazon.com/cloudwatch/pricing/
Métricas detalhadas/customizadas.
Acesso: 2026-08-06</xltc:text>
  </xltc:threadedComment>
  <xltc:threadedComment ref="B21" dT="2026-08-06T23:26:01.97" personId="{69F6FE37-099D-4DFC-907A-D29AD63DA16F}" id="{A108B7E0-9644-4258-2F2A-8F5B7C0DB977}">
    <xltc:text>Fonte: https://aws.amazon.com/sqs/pricing/
Solicitações SQS Standard.
Acesso: 2026-08-06</xltc:text>
  </xltc:threadedComment>
  <xltc:threadedComment ref="B22" dT="2026-08-06T23:26:01.97" personId="{69F6FE37-099D-4DFC-907A-D29AD63DA16F}" id="{B821AAA0-FC04-7FF4-4EE0-9E6AFAAF5E10}">
    <xltc:text>Fonte: https://aws.amazon.com/dynamodb/pricing/
WRU on-demand.
Acesso: 2026-08-06</xltc:text>
  </xltc:threadedComment>
  <xltc:threadedComment ref="B23" dT="2026-08-06T23:26:01.97" personId="{69F6FE37-099D-4DFC-907A-D29AD63DA16F}" id="{D6357D32-F723-94A9-5238-F6A42B63FACC}">
    <xltc:text>Fonte: https://aws.amazon.com/dynamodb/pricing/
RRU on-demand.
Acesso: 2026-08-06</xltc:text>
  </xltc:threadedComment>
  <xltc:threadedComment ref="B24" dT="2026-08-06T23:26:01.97" personId="{69F6FE37-099D-4DFC-907A-D29AD63DA16F}" id="{CD4E29C1-0116-AACC-B690-5DEF2DF7DA6A}">
    <xltc:text>Fonte: https://aws.amazon.com/dynamodb/pricing/
Armazenamento de tabelas.
Acesso: 2026-08-06</xltc:text>
  </xltc:threadedComment>
  <xltc:threadedComment ref="B25" dT="2026-08-06T23:26:01.97" personId="{69F6FE37-099D-4DFC-907A-D29AD63DA16F}" id="{8E166A1D-35D2-A6F1-8A9B-996D31F4D916}">
    <xltc:text>Fonte: https://docs.aws.amazon.com/amazondynamodb/latest/developerguide/DynamodbDisasterRecoveryStrategy.html
PITR por GB-mês.
Acesso: 2026-08-06</xltc:text>
  </xltc:threadedComment>
  <xltc:threadedComment ref="B26" dT="2026-08-06T23:26:01.97" personId="{69F6FE37-099D-4DFC-907A-D29AD63DA16F}" id="{FB712219-DB6D-5D22-F207-F04E4506EDFE}">
    <xltc:text>Fonte: https://aws.amazon.com/api-gateway/pricing/
HTTP API por milhão de chamadas.
Acesso: 2026-08-06</xltc:text>
  </xltc:threadedComment>
  <xltc:threadedComment ref="B27" dT="2026-08-06T23:26:01.97" personId="{69F6FE37-099D-4DFC-907A-D29AD63DA16F}" id="{D478D61E-704B-11F5-A16D-804E5B9364FD}">
    <xltc:text>Fonte: https://aws.amazon.com/kms/pricing/
Chave KMS mensal.
Acesso: 2026-08-06</xltc:text>
  </xltc:threadedComment>
  <xltc:threadedComment ref="B28" dT="2026-08-06T23:26:01.97" personId="{69F6FE37-099D-4DFC-907A-D29AD63DA16F}" id="{675806BC-551B-81FE-0B3C-62C4472E379E}">
    <xltc:text>Fonte: https://aws.amazon.com/kms/pricing/
Solicitações KMS.
Acesso: 2026-08-06</xltc:text>
  </xltc:threadedComment>
  <xltc:threadedComment ref="B29" dT="2026-08-06T23:26:01.97" personId="{69F6FE37-099D-4DFC-907A-D29AD63DA16F}" id="{8A680988-1023-C981-6395-927A8F5FCF3E}">
    <xltc:text>Fonte: https://aws.amazon.com/sns/pricing/
Publicações SNS.
Acesso: 2026-08-06</xltc:text>
  </xltc:threadedComment>
  <xltc:threadedComment ref="B38" dT="2026-08-06T23:26:01.97" personId="{69F6FE37-099D-4DFC-907A-D29AD63DA16F}" id="{27900E44-66C5-39CE-151C-CB8EF566DEFB}">
    <xltc:text>Fonte: https://github.com/lleonardo-p/data_masters
Reconciliação do backfill registrada na documentação do projeto.
Acesso: 2026-08-06</xltc:text>
  </xltc:threadedComment>
  <xltc:threadedComment ref="K6" dT="2026-08-06T23:26:01.97" personId="{69F6FE37-099D-4DFC-907A-D29AD63DA16F}" id="{8686F1CF-B5A0-8C80-153B-51ABA766ECD1}">
    <xltc:text>Fonte: https://www.poder360.com.br/saude/brasil-registra-43-134-casos-provaveis-de-dengue-em-1-dia/
Cenário de pico: 43.134 casos prováveis em 24 horas, abril de 2024.
Acesso: 2026-08-06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9728642c0c645f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bb1c55d330434faa" /><Relationship Type="http://schemas.openxmlformats.org/officeDocument/2006/relationships/vmlDrawing" Target="/xl/drawings/vmldrawing.vml" Id="R364e3af1c0e14d19" /><Relationship Type="http://schemas.microsoft.com/office/2017/10/relationships/threadedComment" Target="/xl/threadedcomments/threadedcomment.xml" Id="R6059fb6c83f6462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34" customHeight="1">
      <x:c r="A1" s="4" t="str">
        <x:v>BAIP — estimativa de custos AWS</x:v>
      </x:c>
      <x:c r="B1" s="4" t="str">
        <x:v>BAIP — estimativa de custos AWS</x:v>
      </x:c>
      <x:c r="C1" s="4" t="str">
        <x:v>BAIP — estimativa de custos AWS</x:v>
      </x:c>
      <x:c r="D1" s="4" t="str">
        <x:v>BAIP — estimativa de custos AWS</x:v>
      </x:c>
      <x:c r="E1" s="4" t="str">
        <x:v>BAIP — estimativa de custos AWS</x:v>
      </x:c>
      <x:c r="F1" s="4" t="str">
        <x:v>BAIP — estimativa de custos AWS</x:v>
      </x:c>
      <x:c r="G1" s="4" t="str">
        <x:v>BAIP — estimativa de custos AWS</x:v>
      </x:c>
      <x:c r="H1" s="4" t="str">
        <x:v>BAIP — estimativa de custos AWS</x:v>
      </x:c>
      <x:c r="I1" s="4" t="str">
        <x:v>BAIP — estimativa de custos AWS</x:v>
      </x:c>
      <x:c r="J1" s="4" t="str">
        <x:v>BAIP — estimativa de custos AWS</x:v>
      </x:c>
      <x:c r="K1" s="4" t="str">
        <x:v>BAIP — estimativa de custos AWS</x:v>
      </x:c>
      <x:c r="L1" s="4" t="str">
        <x:v>BAIP — estimativa de custos AWS</x:v>
      </x:c>
      <x:c r="M1" s="4" t="str">
        <x:v>BAIP — estimativa de custos AWS</x:v>
      </x:c>
      <x:c r="N1" s="4" t="str">
        <x:v>BAIP — estimativa de custos AWS</x:v>
      </x:c>
    </x:row>
    <x:row r="2" ht="30" customHeight="1">
      <x:c r="A2" s="8" t="str">
        <x:v>Modelo editável para o fluxo Batch histórico/diário e o NRT. USD bruto em us-east-1, sem Free Tier, impostos ou mão de obra.</x:v>
      </x:c>
      <x:c r="B2" s="8" t="str">
        <x:v>Modelo editável para o fluxo Batch histórico/diário e o NRT. USD bruto em us-east-1, sem Free Tier, impostos ou mão de obra.</x:v>
      </x:c>
      <x:c r="C2" s="8" t="str">
        <x:v>Modelo editável para o fluxo Batch histórico/diário e o NRT. USD bruto em us-east-1, sem Free Tier, impostos ou mão de obra.</x:v>
      </x:c>
      <x:c r="D2" s="8" t="str">
        <x:v>Modelo editável para o fluxo Batch histórico/diário e o NRT. USD bruto em us-east-1, sem Free Tier, impostos ou mão de obra.</x:v>
      </x:c>
      <x:c r="E2" s="8" t="str">
        <x:v>Modelo editável para o fluxo Batch histórico/diário e o NRT. USD bruto em us-east-1, sem Free Tier, impostos ou mão de obra.</x:v>
      </x:c>
      <x:c r="F2" s="8" t="str">
        <x:v>Modelo editável para o fluxo Batch histórico/diário e o NRT. USD bruto em us-east-1, sem Free Tier, impostos ou mão de obra.</x:v>
      </x:c>
      <x:c r="G2" s="8" t="str">
        <x:v>Modelo editável para o fluxo Batch histórico/diário e o NRT. USD bruto em us-east-1, sem Free Tier, impostos ou mão de obra.</x:v>
      </x:c>
      <x:c r="H2" s="8" t="str">
        <x:v>Modelo editável para o fluxo Batch histórico/diário e o NRT. USD bruto em us-east-1, sem Free Tier, impostos ou mão de obra.</x:v>
      </x:c>
      <x:c r="I2" s="8" t="str">
        <x:v>Modelo editável para o fluxo Batch histórico/diário e o NRT. USD bruto em us-east-1, sem Free Tier, impostos ou mão de obra.</x:v>
      </x:c>
      <x:c r="J2" s="8" t="str">
        <x:v>Modelo editável para o fluxo Batch histórico/diário e o NRT. USD bruto em us-east-1, sem Free Tier, impostos ou mão de obra.</x:v>
      </x:c>
      <x:c r="K2" s="8" t="str">
        <x:v>Modelo editável para o fluxo Batch histórico/diário e o NRT. USD bruto em us-east-1, sem Free Tier, impostos ou mão de obra.</x:v>
      </x:c>
      <x:c r="L2" s="8" t="str">
        <x:v>Modelo editável para o fluxo Batch histórico/diário e o NRT. USD bruto em us-east-1, sem Free Tier, impostos ou mão de obra.</x:v>
      </x:c>
      <x:c r="M2" s="8" t="str">
        <x:v>Modelo editável para o fluxo Batch histórico/diário e o NRT. USD bruto em us-east-1, sem Free Tier, impostos ou mão de obra.</x:v>
      </x:c>
      <x:c r="N2" s="8" t="str">
        <x:v>Modelo editável para o fluxo Batch histórico/diário e o NRT. USD bruto em us-east-1, sem Free Tier, impostos ou mão de obra.</x:v>
      </x:c>
    </x:row>
    <x:row r="4" ht="22" customHeight="1">
      <x:c r="A4" s="10" t="str">
        <x:v>Indicadores principais</x:v>
      </x:c>
      <x:c r="B4" s="10" t="str">
        <x:v>Indicadores principais</x:v>
      </x:c>
      <x:c r="C4" s="10" t="str">
        <x:v>Indicadores principais</x:v>
      </x:c>
      <x:c r="D4" s="10" t="str">
        <x:v>Indicadores principais</x:v>
      </x:c>
      <x:c r="E4" s="10" t="str">
        <x:v>Indicadores principais</x:v>
      </x:c>
      <x:c r="F4" s="10" t="str">
        <x:v>Indicadores principais</x:v>
      </x:c>
      <x:c r="G4" s="10" t="str">
        <x:v>Indicadores principais</x:v>
      </x:c>
      <x:c r="H4" s="10" t="str">
        <x:v>Indicadores principais</x:v>
      </x:c>
      <x:c r="I4" s="10" t="str">
        <x:v>Indicadores principais</x:v>
      </x:c>
      <x:c r="J4" s="10" t="str">
        <x:v>Indicadores principais</x:v>
      </x:c>
      <x:c r="K4" s="10" t="str">
        <x:v>Indicadores principais</x:v>
      </x:c>
      <x:c r="L4" s="10" t="str">
        <x:v>Indicadores principais</x:v>
      </x:c>
      <x:c r="M4" s="10" t="str">
        <x:v>Indicadores principais</x:v>
      </x:c>
      <x:c r="N4" s="10" t="str">
        <x:v>Indicadores principais</x:v>
      </x:c>
    </x:row>
    <x:row r="5">
      <x:c r="A5" s="225" t="str">
        <x:v>BACKFILL + 1º MÊS</x:v>
      </x:c>
      <x:c r="B5" s="225" t="str">
        <x:v>BACKFILL + 1º MÊS</x:v>
      </x:c>
      <x:c r="C5" s="225" t="str">
        <x:v>BACKFILL + 1º MÊS</x:v>
      </x:c>
      <x:c r="D5" s="266" t="str">
        <x:v>BATCH DIÁRIO / MÊS</x:v>
      </x:c>
      <x:c r="E5" s="266" t="str">
        <x:v>BATCH DIÁRIO / MÊS</x:v>
      </x:c>
      <x:c r="F5" s="266" t="str">
        <x:v>BATCH DIÁRIO / MÊS</x:v>
      </x:c>
      <x:c r="G5" s="270" t="str">
        <x:v>NRT PICO / MÊS</x:v>
      </x:c>
      <x:c r="H5" s="270" t="str">
        <x:v>NRT PICO / MÊS</x:v>
      </x:c>
      <x:c r="I5" s="270" t="str">
        <x:v>NRT PICO / MÊS</x:v>
      </x:c>
      <x:c r="J5" s="274" t="str">
        <x:v>PLATAFORMA PICO / MÊS</x:v>
      </x:c>
      <x:c r="K5" s="274" t="str">
        <x:v>PLATAFORMA PICO / MÊS</x:v>
      </x:c>
      <x:c r="L5" s="274" t="str">
        <x:v>PLATAFORMA PICO / MÊS</x:v>
      </x:c>
      <x:c r="M5" s="274" t="str">
        <x:v>PLATAFORMA PICO / MÊS</x:v>
      </x:c>
      <x:c r="N5" s="274" t="str">
        <x:v>PLATAFORMA PICO / MÊS</x:v>
      </x:c>
    </x:row>
    <x:row r="6">
      <x:c r="A6" s="254" t="n">
        <x:f>'Batch Backfill'!F29</x:f>
        <x:v>2.7923014167029008</x:v>
      </x:c>
      <x:c r="B6" s="255"/>
      <x:c r="C6" s="256"/>
      <x:c r="D6" s="254" t="n">
        <x:f>'Batch Diário'!F32</x:f>
        <x:v>27.558632097265825</x:v>
      </x:c>
      <x:c r="E6" s="255"/>
      <x:c r="F6" s="256"/>
      <x:c r="G6" s="254" t="n">
        <x:f>'NRT Cenários'!D28</x:f>
        <x:v>25.141857419261473</x:v>
      </x:c>
      <x:c r="H6" s="255"/>
      <x:c r="I6" s="256"/>
      <x:c r="J6" s="254" t="n">
        <x:f>'NRT Cenários'!D31</x:f>
        <x:v>52.7004895165273</x:v>
      </x:c>
      <x:c r="K6" s="255"/>
      <x:c r="L6" s="255"/>
      <x:c r="M6" s="255"/>
      <x:c r="N6" s="256"/>
    </x:row>
    <x:row r="7">
      <x:c r="A7" s="257"/>
      <x:c r="B7" s="258"/>
      <x:c r="C7" s="259"/>
      <x:c r="D7" s="257"/>
      <x:c r="E7" s="258"/>
      <x:c r="F7" s="259"/>
      <x:c r="G7" s="257"/>
      <x:c r="H7" s="258"/>
      <x:c r="I7" s="259"/>
      <x:c r="J7" s="257"/>
      <x:c r="K7" s="258"/>
      <x:c r="L7" s="258"/>
      <x:c r="M7" s="258"/>
      <x:c r="N7" s="259"/>
    </x:row>
    <x:row r="8">
      <x:c r="A8" s="260"/>
      <x:c r="B8" s="261"/>
      <x:c r="C8" s="262"/>
      <x:c r="D8" s="260"/>
      <x:c r="E8" s="261"/>
      <x:c r="F8" s="262"/>
      <x:c r="G8" s="260"/>
      <x:c r="H8" s="261"/>
      <x:c r="I8" s="262"/>
      <x:c r="J8" s="260"/>
      <x:c r="K8" s="261"/>
      <x:c r="L8" s="261"/>
      <x:c r="M8" s="261"/>
      <x:c r="N8" s="262"/>
    </x:row>
    <x:row r="10" ht="22" customHeight="1">
      <x:c r="A10" s="10" t="str">
        <x:v>Custo mensal por cenário</x:v>
      </x:c>
      <x:c r="B10" s="10" t="str">
        <x:v>Custo mensal por cenário</x:v>
      </x:c>
      <x:c r="C10" s="10" t="str">
        <x:v>Custo mensal por cenário</x:v>
      </x:c>
      <x:c r="D10" s="10" t="str">
        <x:v>Custo mensal por cenário</x:v>
      </x:c>
      <x:c r="E10" s="10" t="str">
        <x:v>Custo mensal por cenário</x:v>
      </x:c>
      <x:c r="F10" s="10" t="str">
        <x:v>Custo mensal por cenário</x:v>
      </x:c>
    </x:row>
    <x:row r="11">
      <x:c r="A11" s="275" t="str">
        <x:v>Cenário</x:v>
      </x:c>
      <x:c r="B11" s="275" t="str">
        <x:v>Batch USD</x:v>
      </x:c>
      <x:c r="C11" s="275" t="str">
        <x:v>NRT USD</x:v>
      </x:c>
      <x:c r="D11" s="275" t="str">
        <x:v>Total USD</x:v>
      </x:c>
      <x:c r="E11" s="275" t="str">
        <x:v>Eventos/dia</x:v>
      </x:c>
    </x:row>
    <x:row r="12">
      <x:c r="A12" s="276" t="str">
        <x:v>Normal</x:v>
      </x:c>
      <x:c r="B12" s="277" t="n">
        <x:f>'Batch Diário'!F32</x:f>
        <x:v>27.558632097265825</x:v>
      </x:c>
      <x:c r="C12" s="277" t="n">
        <x:f>'NRT Cenários'!B28</x:f>
        <x:v>11.660847269353027</x:v>
      </x:c>
      <x:c r="D12" s="277" t="n">
        <x:f>B12+C12</x:f>
        <x:v>39.219479366618856</x:v>
      </x:c>
      <x:c r="E12" s="278" t="n">
        <x:f>'Premissas'!I6</x:f>
        <x:v>10000</x:v>
      </x:c>
    </x:row>
    <x:row r="13">
      <x:c r="A13" s="276" t="str">
        <x:v>Alto</x:v>
      </x:c>
      <x:c r="B13" s="277" t="n">
        <x:f>'Batch Diário'!F32</x:f>
        <x:v>27.558632097265825</x:v>
      </x:c>
      <x:c r="C13" s="277" t="n">
        <x:f>'NRT Cenários'!C28</x:f>
        <x:v>17.78857915567505</x:v>
      </x:c>
      <x:c r="D13" s="277" t="n">
        <x:f>B13+C13</x:f>
        <x:v>45.34721125294087</x:v>
      </x:c>
      <x:c r="E13" s="278" t="n">
        <x:f>'Premissas'!J6</x:f>
        <x:v>25000</x:v>
      </x:c>
    </x:row>
    <x:row r="14">
      <x:c r="A14" s="276" t="str">
        <x:v>Pico</x:v>
      </x:c>
      <x:c r="B14" s="277" t="n">
        <x:f>'Batch Diário'!F32</x:f>
        <x:v>27.558632097265825</x:v>
      </x:c>
      <x:c r="C14" s="277" t="n">
        <x:f>'NRT Cenários'!D28</x:f>
        <x:v>25.141857419261473</x:v>
      </x:c>
      <x:c r="D14" s="277" t="n">
        <x:f>B14+C14</x:f>
        <x:v>52.7004895165273</x:v>
      </x:c>
      <x:c r="E14" s="278" t="n">
        <x:f>'Premissas'!K6</x:f>
        <x:v>43000</x:v>
      </x:c>
    </x:row>
    <x:row r="17" ht="22" customHeight="1">
      <x:c r="A17" s="10" t="str">
        <x:v>Leitura executiva</x:v>
      </x:c>
      <x:c r="B17" s="10" t="str">
        <x:v>Leitura executiva</x:v>
      </x:c>
      <x:c r="C17" s="10" t="str">
        <x:v>Leitura executiva</x:v>
      </x:c>
      <x:c r="D17" s="10" t="str">
        <x:v>Leitura executiva</x:v>
      </x:c>
      <x:c r="E17" s="10" t="str">
        <x:v>Leitura executiva</x:v>
      </x:c>
      <x:c r="F17" s="10" t="str">
        <x:v>Leitura executiva</x:v>
      </x:c>
    </x:row>
    <x:row r="18" ht="31" customHeight="1">
      <x:c r="A18" s="297" t="str">
        <x:v>1. O custo do Batch diário é dominado pelos jobs Silver → Gold e Reconciliação, pois ambos releem o snapshot completo de 8,2 milhões de registros.</x:v>
      </x:c>
      <x:c r="B18" s="298"/>
      <x:c r="C18" s="298"/>
      <x:c r="D18" s="298"/>
      <x:c r="E18" s="298"/>
      <x:c r="F18" s="299"/>
    </x:row>
    <x:row r="19" ht="31" customHeight="1">
      <x:c r="A19" s="300" t="str">
        <x:v>2. No NRT, os maiores direcionadores são as escritas transacionais no DynamoDB, o HMAC por evento no KMS e as métricas detalhadas do API Gateway.</x:v>
      </x:c>
      <x:c r="B19" s="301"/>
      <x:c r="C19" s="301"/>
      <x:c r="D19" s="301"/>
      <x:c r="E19" s="301"/>
      <x:c r="F19" s="302"/>
    </x:row>
    <x:row r="20" ht="31" customHeight="1">
      <x:c r="A20" s="300" t="str">
        <x:v>3. O cenário de pico considera 43.000 eventos/dia sustentados por 30 dias; um pico de apenas um dia custaria menos.</x:v>
      </x:c>
      <x:c r="B20" s="301"/>
      <x:c r="C20" s="301"/>
      <x:c r="D20" s="301"/>
      <x:c r="E20" s="301"/>
      <x:c r="F20" s="302"/>
    </x:row>
    <x:row r="21" ht="31" customHeight="1">
      <x:c r="A21" s="300" t="str">
        <x:v>4. O S3 tem versionamento habilitado e não há lifecycle no repositório. Sem expiração, o custo cresce a cada snapshot Gold diário.</x:v>
      </x:c>
      <x:c r="B21" s="301"/>
      <x:c r="C21" s="301"/>
      <x:c r="D21" s="301"/>
      <x:c r="E21" s="301"/>
      <x:c r="F21" s="302"/>
    </x:row>
    <x:row r="22" ht="31" customHeight="1">
      <x:c r="A22" s="300" t="str">
        <x:v>5. Tempos de Glue, tamanhos Parquet, atividade do dashboard e câmbio são premissas editáveis e devem ser substituídos por métricas reais após a operação.</x:v>
      </x:c>
      <x:c r="B22" s="301"/>
      <x:c r="C22" s="301"/>
      <x:c r="D22" s="301"/>
      <x:c r="E22" s="301"/>
      <x:c r="F22" s="302"/>
    </x:row>
    <x:row r="23" ht="31" customHeight="1">
      <x:c r="A23" s="303" t="str">
        <x:v>6. O modelo não inclui mão de obra, suporte empresarial, impostos, hardware local, internet, domínio, WAF/VPC ou uma licença paga do ngrok.</x:v>
      </x:c>
      <x:c r="B23" s="304"/>
      <x:c r="C23" s="304"/>
      <x:c r="D23" s="304"/>
      <x:c r="E23" s="304"/>
      <x:c r="F23" s="305"/>
    </x:row>
    <x:row r="26" ht="22" customHeight="1">
      <x:c r="A26" s="10" t="str">
        <x:v>Como usar esta planilha</x:v>
      </x:c>
      <x:c r="B26" s="10" t="str">
        <x:v>Como usar esta planilha</x:v>
      </x:c>
      <x:c r="C26" s="10" t="str">
        <x:v>Como usar esta planilha</x:v>
      </x:c>
      <x:c r="D26" s="10" t="str">
        <x:v>Como usar esta planilha</x:v>
      </x:c>
      <x:c r="E26" s="10" t="str">
        <x:v>Como usar esta planilha</x:v>
      </x:c>
      <x:c r="F26" s="10" t="str">
        <x:v>Como usar esta planilha</x:v>
      </x:c>
      <x:c r="G26" s="10" t="str">
        <x:v>Como usar esta planilha</x:v>
      </x:c>
      <x:c r="H26" s="10" t="str">
        <x:v>Como usar esta planilha</x:v>
      </x:c>
      <x:c r="I26" s="10" t="str">
        <x:v>Como usar esta planilha</x:v>
      </x:c>
      <x:c r="J26" s="10" t="str">
        <x:v>Como usar esta planilha</x:v>
      </x:c>
      <x:c r="K26" s="10" t="str">
        <x:v>Como usar esta planilha</x:v>
      </x:c>
      <x:c r="L26" s="10" t="str">
        <x:v>Como usar esta planilha</x:v>
      </x:c>
      <x:c r="M26" s="10" t="str">
        <x:v>Como usar esta planilha</x:v>
      </x:c>
      <x:c r="N26" s="10" t="str">
        <x:v>Como usar esta planilha</x:v>
      </x:c>
    </x:row>
    <x:row r="27">
      <x:c r="A27" s="324" t="str">
        <x:v>Atualize as células amarelas da aba Premissas com durações reais do Glue (DPUSeconds/ExecutionTime), tamanhos dos prefixos S3, tráfego real da API e horas de uso do dashboard. As demais abas recalculam automaticamente. Os custos são estimativas para planejamento, não uma proposta comercial da AWS.</x:v>
      </x:c>
      <x:c r="B27" s="325"/>
      <x:c r="C27" s="325"/>
      <x:c r="D27" s="325"/>
      <x:c r="E27" s="325"/>
      <x:c r="F27" s="325"/>
      <x:c r="G27" s="325"/>
      <x:c r="H27" s="325"/>
      <x:c r="I27" s="325"/>
      <x:c r="J27" s="325"/>
      <x:c r="K27" s="325"/>
      <x:c r="L27" s="325"/>
      <x:c r="M27" s="325"/>
      <x:c r="N27" s="326"/>
    </x:row>
    <x:row r="28">
      <x:c r="A28" s="327"/>
      <x:c r="B28" s="328"/>
      <x:c r="C28" s="328"/>
      <x:c r="D28" s="328"/>
      <x:c r="E28" s="328"/>
      <x:c r="F28" s="328"/>
      <x:c r="G28" s="328"/>
      <x:c r="H28" s="328"/>
      <x:c r="I28" s="328"/>
      <x:c r="J28" s="328"/>
      <x:c r="K28" s="328"/>
      <x:c r="L28" s="328"/>
      <x:c r="M28" s="328"/>
      <x:c r="N28" s="329"/>
    </x:row>
    <x:row r="29">
      <x:c r="A29" s="327"/>
      <x:c r="B29" s="328"/>
      <x:c r="C29" s="328"/>
      <x:c r="D29" s="328"/>
      <x:c r="E29" s="328"/>
      <x:c r="F29" s="328"/>
      <x:c r="G29" s="328"/>
      <x:c r="H29" s="328"/>
      <x:c r="I29" s="328"/>
      <x:c r="J29" s="328"/>
      <x:c r="K29" s="328"/>
      <x:c r="L29" s="328"/>
      <x:c r="M29" s="328"/>
      <x:c r="N29" s="329"/>
    </x:row>
    <x:row r="30">
      <x:c r="A30" s="330"/>
      <x:c r="B30" s="331"/>
      <x:c r="C30" s="331"/>
      <x:c r="D30" s="331"/>
      <x:c r="E30" s="331"/>
      <x:c r="F30" s="331"/>
      <x:c r="G30" s="331"/>
      <x:c r="H30" s="331"/>
      <x:c r="I30" s="331"/>
      <x:c r="J30" s="331"/>
      <x:c r="K30" s="331"/>
      <x:c r="L30" s="331"/>
      <x:c r="M30" s="331"/>
      <x:c r="N30" s="332"/>
    </x:row>
  </x:sheetData>
  <x:mergeCells>
    <x:mergeCell ref="A1:N1"/>
    <x:mergeCell ref="A2:N2"/>
    <x:mergeCell ref="A4:N4"/>
    <x:mergeCell ref="A5:C5"/>
    <x:mergeCell ref="A6:C8"/>
    <x:mergeCell ref="D5:F5"/>
    <x:mergeCell ref="D6:F8"/>
    <x:mergeCell ref="G5:I5"/>
    <x:mergeCell ref="G6:I8"/>
    <x:mergeCell ref="J5:N5"/>
    <x:mergeCell ref="J6:N8"/>
    <x:mergeCell ref="A10:F10"/>
    <x:mergeCell ref="A17:F17"/>
    <x:mergeCell ref="A18:F18"/>
    <x:mergeCell ref="A19:F19"/>
    <x:mergeCell ref="A20:F20"/>
    <x:mergeCell ref="A21:F21"/>
    <x:mergeCell ref="A22:F22"/>
    <x:mergeCell ref="A23:F23"/>
    <x:mergeCell ref="A26:N26"/>
    <x:mergeCell ref="A27:N27"/>
    <x:mergeCell ref="A28:N28"/>
    <x:mergeCell ref="A29:N29"/>
    <x:mergeCell ref="A30:N30"/>
  </x:mergeCells>
  <x:pageMargins left="0.7" right="0.7" top="0.75" bottom="0.75" header="0.3" footer="0.3"/>
  <x:drawing xmlns:r="http://schemas.openxmlformats.org/officeDocument/2006/relationships" r:id="R69728642c0c645f5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5" hidden="0" customWidth="1"/>
    <x:col min="3" max="3" width="18" hidden="0" customWidth="1"/>
    <x:col min="4" max="4" width="14" hidden="0" customWidth="1"/>
    <x:col min="5" max="5" width="48" hidden="0" customWidth="1"/>
    <x:col min="6" max="6" width="3" hidden="0" customWidth="1"/>
    <x:col min="7" max="7" width="3" hidden="0" customWidth="1"/>
    <x:col min="8" max="8" width="35" hidden="0" customWidth="1"/>
    <x:col min="9" max="9" width="13" hidden="0" customWidth="1"/>
    <x:col min="10" max="10" width="13" hidden="0" customWidth="1"/>
    <x:col min="11" max="11" width="13" hidden="0" customWidth="1"/>
    <x:col min="12" max="12" width="38" hidden="0" customWidth="1"/>
  </x:cols>
  <x:sheetData>
    <x:row r="1" ht="34" customHeight="1">
      <x:c r="A1" s="4" t="str">
        <x:v>BAIP — Premissas da estimativa de custos</x:v>
      </x:c>
      <x:c r="B1" s="4" t="str">
        <x:v>BAIP — Premissas da estimativa de custos</x:v>
      </x:c>
      <x:c r="C1" s="4" t="str">
        <x:v>BAIP — Premissas da estimativa de custos</x:v>
      </x:c>
      <x:c r="D1" s="4" t="str">
        <x:v>BAIP — Premissas da estimativa de custos</x:v>
      </x:c>
      <x:c r="E1" s="4" t="str">
        <x:v>BAIP — Premissas da estimativa de custos</x:v>
      </x:c>
      <x:c r="F1" s="4" t="str">
        <x:v>BAIP — Premissas da estimativa de custos</x:v>
      </x:c>
      <x:c r="G1" s="4" t="str">
        <x:v>BAIP — Premissas da estimativa de custos</x:v>
      </x:c>
      <x:c r="H1" s="4" t="str">
        <x:v>BAIP — Premissas da estimativa de custos</x:v>
      </x:c>
      <x:c r="I1" s="4" t="str">
        <x:v>BAIP — Premissas da estimativa de custos</x:v>
      </x:c>
      <x:c r="J1" s="4" t="str">
        <x:v>BAIP — Premissas da estimativa de custos</x:v>
      </x:c>
      <x:c r="K1" s="4" t="str">
        <x:v>BAIP — Premissas da estimativa de custos</x:v>
      </x:c>
      <x:c r="L1" s="4" t="str">
        <x:v>BAIP — Premissas da estimativa de custos</x:v>
      </x:c>
    </x:row>
    <x:row r="2" ht="30" customHeight="1">
      <x:c r="A2" s="8" t="str">
        <x:v>Valores brutos em USD, região us-east-1, antes de impostos, créditos e Free Tier. Células amarelas com fonte azul são editáveis.</x:v>
      </x:c>
      <x:c r="B2" s="8" t="str">
        <x:v>Valores brutos em USD, região us-east-1, antes de impostos, créditos e Free Tier. Células amarelas com fonte azul são editáveis.</x:v>
      </x:c>
      <x:c r="C2" s="8" t="str">
        <x:v>Valores brutos em USD, região us-east-1, antes de impostos, créditos e Free Tier. Células amarelas com fonte azul são editáveis.</x:v>
      </x:c>
      <x:c r="D2" s="8" t="str">
        <x:v>Valores brutos em USD, região us-east-1, antes de impostos, créditos e Free Tier. Células amarelas com fonte azul são editáveis.</x:v>
      </x:c>
      <x:c r="E2" s="8" t="str">
        <x:v>Valores brutos em USD, região us-east-1, antes de impostos, créditos e Free Tier. Células amarelas com fonte azul são editáveis.</x:v>
      </x:c>
      <x:c r="F2" s="8" t="str">
        <x:v>Valores brutos em USD, região us-east-1, antes de impostos, créditos e Free Tier. Células amarelas com fonte azul são editáveis.</x:v>
      </x:c>
      <x:c r="G2" s="8" t="str">
        <x:v>Valores brutos em USD, região us-east-1, antes de impostos, créditos e Free Tier. Células amarelas com fonte azul são editáveis.</x:v>
      </x:c>
      <x:c r="H2" s="8" t="str">
        <x:v>Valores brutos em USD, região us-east-1, antes de impostos, créditos e Free Tier. Células amarelas com fonte azul são editáveis.</x:v>
      </x:c>
      <x:c r="I2" s="8" t="str">
        <x:v>Valores brutos em USD, região us-east-1, antes de impostos, créditos e Free Tier. Células amarelas com fonte azul são editáveis.</x:v>
      </x:c>
      <x:c r="J2" s="8" t="str">
        <x:v>Valores brutos em USD, região us-east-1, antes de impostos, créditos e Free Tier. Células amarelas com fonte azul são editáveis.</x:v>
      </x:c>
      <x:c r="K2" s="8" t="str">
        <x:v>Valores brutos em USD, região us-east-1, antes de impostos, créditos e Free Tier. Células amarelas com fonte azul são editáveis.</x:v>
      </x:c>
      <x:c r="L2" s="8" t="str">
        <x:v>Valores brutos em USD, região us-east-1, antes de impostos, créditos e Free Tier. Células amarelas com fonte azul são editáveis.</x:v>
      </x:c>
    </x:row>
    <x:row r="3">
      <x:c r="A3" s="93"/>
      <x:c r="B3" s="93"/>
      <x:c r="C3" s="93"/>
      <x:c r="D3" s="93"/>
      <x:c r="E3" s="93"/>
      <x:c r="F3" s="93"/>
      <x:c r="G3" s="93"/>
      <x:c r="H3" s="93"/>
      <x:c r="I3" s="93"/>
      <x:c r="J3" s="93"/>
      <x:c r="K3" s="93"/>
      <x:c r="L3" s="93"/>
    </x:row>
    <x:row r="4" ht="22" customHeight="1">
      <x:c r="A4" s="68" t="str">
        <x:v>Preços e parâmetros gerais</x:v>
      </x:c>
      <x:c r="B4" s="68" t="str">
        <x:v>Preços e parâmetros gerais</x:v>
      </x:c>
      <x:c r="C4" s="68" t="str">
        <x:v>Preços e parâmetros gerais</x:v>
      </x:c>
      <x:c r="D4" s="68" t="str">
        <x:v>Preços e parâmetros gerais</x:v>
      </x:c>
      <x:c r="E4" s="68" t="str">
        <x:v>Preços e parâmetros gerais</x:v>
      </x:c>
      <x:c r="F4" s="93"/>
      <x:c r="G4" s="93"/>
      <x:c r="H4" s="68" t="str">
        <x:v>NRT — cenários e comportamento do código</x:v>
      </x:c>
      <x:c r="I4" s="68" t="str">
        <x:v>NRT — cenários e comportamento do código</x:v>
      </x:c>
      <x:c r="J4" s="68" t="str">
        <x:v>NRT — cenários e comportamento do código</x:v>
      </x:c>
      <x:c r="K4" s="68" t="str">
        <x:v>NRT — cenários e comportamento do código</x:v>
      </x:c>
      <x:c r="L4" s="68" t="str">
        <x:v>NRT — cenários e comportamento do código</x:v>
      </x:c>
    </x:row>
    <x:row r="5">
      <x:c r="A5" s="69" t="str">
        <x:v>Item</x:v>
      </x:c>
      <x:c r="B5" s="70" t="str">
        <x:v>Valor</x:v>
      </x:c>
      <x:c r="C5" s="70" t="str">
        <x:v>Unidade</x:v>
      </x:c>
      <x:c r="D5" s="70" t="str">
        <x:v>Fonte</x:v>
      </x:c>
      <x:c r="E5" s="71" t="str">
        <x:v>Observação</x:v>
      </x:c>
      <x:c r="F5" s="93"/>
      <x:c r="G5" s="93"/>
      <x:c r="H5" s="69" t="str">
        <x:v>Premissa</x:v>
      </x:c>
      <x:c r="I5" s="70" t="str">
        <x:v>Normal</x:v>
      </x:c>
      <x:c r="J5" s="70" t="str">
        <x:v>Alto</x:v>
      </x:c>
      <x:c r="K5" s="70" t="str">
        <x:v>Pico</x:v>
      </x:c>
      <x:c r="L5" s="71" t="str">
        <x:v>Unidade/observação</x:v>
      </x:c>
    </x:row>
    <x:row r="6">
      <x:c r="A6" s="94" t="str">
        <x:v>Câmbio ilustrativo USD/BRL</x:v>
      </x:c>
      <x:c r="B6" s="95" t="n">
        <x:v>5.5</x:v>
      </x:c>
      <x:c r="C6" s="94" t="str">
        <x:v>BRL por USD</x:v>
      </x:c>
      <x:c r="D6" s="94" t="str">
        <x:v>ASSUMP</x:v>
      </x:c>
      <x:c r="E6" s="115" t="str">
        <x:v>Apenas para apresentação; não é cotação.</x:v>
      </x:c>
      <x:c r="F6" s="93"/>
      <x:c r="G6" s="93"/>
      <x:c r="H6" s="94" t="str">
        <x:v>Eventos por dia</x:v>
      </x:c>
      <x:c r="I6" s="96" t="n">
        <x:v>10000</x:v>
      </x:c>
      <x:c r="J6" s="97" t="n">
        <x:v>25000</x:v>
      </x:c>
      <x:c r="K6" s="98" t="n">
        <x:v>43000</x:v>
      </x:c>
      <x:c r="L6" s="115" t="str">
        <x:v>Pico informado: 43 mil casos em 24 h.</x:v>
      </x:c>
    </x:row>
    <x:row r="7">
      <x:c r="A7" s="99" t="str">
        <x:v>S3 Standard — armazenamento</x:v>
      </x:c>
      <x:c r="B7" s="100" t="n">
        <x:v>0.023</x:v>
      </x:c>
      <x:c r="C7" s="99" t="str">
        <x:v>USD/GB-mês</x:v>
      </x:c>
      <x:c r="D7" s="99" t="str">
        <x:v>AWS-S3</x:v>
      </x:c>
      <x:c r="E7" s="116" t="str">
        <x:v>Primeiros 50 TB/mês.</x:v>
      </x:c>
      <x:c r="F7" s="93"/>
      <x:c r="G7" s="93"/>
      <x:c r="H7" s="99" t="str">
        <x:v>Dias por mês</x:v>
      </x:c>
      <x:c r="I7" s="101" t="n">
        <x:v>30</x:v>
      </x:c>
      <x:c r="J7" s="102" t="n">
        <x:v>30</x:v>
      </x:c>
      <x:c r="K7" s="103" t="n">
        <x:v>30</x:v>
      </x:c>
      <x:c r="L7" s="116" t="str">
        <x:v>dias</x:v>
      </x:c>
    </x:row>
    <x:row r="8">
      <x:c r="A8" s="99" t="str">
        <x:v>S3 — PUT/COPY/POST/LIST</x:v>
      </x:c>
      <x:c r="B8" s="100" t="n">
        <x:v>0.005</x:v>
      </x:c>
      <x:c r="C8" s="99" t="str">
        <x:v>USD/1.000 req.</x:v>
      </x:c>
      <x:c r="D8" s="99" t="str">
        <x:v>AWS-S3</x:v>
      </x:c>
      <x:c r="E8" s="116" t="str">
        <x:v>Solicitações de gravação.</x:v>
      </x:c>
      <x:c r="F8" s="93"/>
      <x:c r="G8" s="93"/>
      <x:c r="H8" s="99" t="str">
        <x:v>Eventos por mês</x:v>
      </x:c>
      <x:c r="I8" s="104" t="n">
        <x:f>I6*I7</x:f>
        <x:v>300000</x:v>
      </x:c>
      <x:c r="J8" s="104" t="n">
        <x:f>J6*J7</x:f>
        <x:v>750000</x:v>
      </x:c>
      <x:c r="K8" s="104" t="n">
        <x:f>K6*K7</x:f>
        <x:v>1290000</x:v>
      </x:c>
      <x:c r="L8" s="116" t="str">
        <x:v>calculado</x:v>
      </x:c>
    </x:row>
    <x:row r="9">
      <x:c r="A9" s="99" t="str">
        <x:v>S3 — GET e demais leituras</x:v>
      </x:c>
      <x:c r="B9" s="100" t="n">
        <x:v>0.0004</x:v>
      </x:c>
      <x:c r="C9" s="99" t="str">
        <x:v>USD/1.000 req.</x:v>
      </x:c>
      <x:c r="D9" s="99" t="str">
        <x:v>AWS-S3</x:v>
      </x:c>
      <x:c r="E9" s="116" t="str">
        <x:v>Solicitações de leitura.</x:v>
      </x:c>
      <x:c r="F9" s="93"/>
      <x:c r="G9" s="93"/>
      <x:c r="H9" s="99" t="str">
        <x:v>Pacientes novos</x:v>
      </x:c>
      <x:c r="I9" s="105" t="n">
        <x:v>0.8</x:v>
      </x:c>
      <x:c r="J9" s="106" t="n">
        <x:v>0.8</x:v>
      </x:c>
      <x:c r="K9" s="107" t="n">
        <x:v>0.8</x:v>
      </x:c>
      <x:c r="L9" s="116" t="str">
        <x:v>% dos eventos</x:v>
      </x:c>
    </x:row>
    <x:row r="10">
      <x:c r="A10" s="99" t="str">
        <x:v>AWS Glue ETL/Crawler</x:v>
      </x:c>
      <x:c r="B10" s="100" t="n">
        <x:v>0.44</x:v>
      </x:c>
      <x:c r="C10" s="99" t="str">
        <x:v>USD/DPU-h</x:v>
      </x:c>
      <x:c r="D10" s="99" t="str">
        <x:v>AWS-GLUE</x:v>
      </x:c>
      <x:c r="E10" s="116" t="str">
        <x:v>Cobrança por segundo, mínimo de 1 minuto.</x:v>
      </x:c>
      <x:c r="F10" s="93"/>
      <x:c r="G10" s="93"/>
      <x:c r="H10" s="99" t="str">
        <x:v>Batch SQS → Lambda</x:v>
      </x:c>
      <x:c r="I10" s="101" t="n">
        <x:v>10</x:v>
      </x:c>
      <x:c r="J10" s="102" t="n">
        <x:v>10</x:v>
      </x:c>
      <x:c r="K10" s="103" t="n">
        <x:v>10</x:v>
      </x:c>
      <x:c r="L10" s="116" t="str">
        <x:v>eventos/invocação</x:v>
      </x:c>
    </x:row>
    <x:row r="11">
      <x:c r="A11" s="99" t="str">
        <x:v>Amazon Athena</x:v>
      </x:c>
      <x:c r="B11" s="100" t="n">
        <x:v>5</x:v>
      </x:c>
      <x:c r="C11" s="99" t="str">
        <x:v>USD/TB lido</x:v>
      </x:c>
      <x:c r="D11" s="99" t="str">
        <x:v>AWS-ATHENA</x:v>
      </x:c>
      <x:c r="E11" s="116" t="str">
        <x:v>Consultas SQL sob demanda.</x:v>
      </x:c>
      <x:c r="F11" s="93"/>
      <x:c r="G11" s="93"/>
      <x:c r="H11" s="99" t="str">
        <x:v>Duração Lambda Processor</x:v>
      </x:c>
      <x:c r="I11" s="101" t="n">
        <x:v>1</x:v>
      </x:c>
      <x:c r="J11" s="102" t="n">
        <x:v>1</x:v>
      </x:c>
      <x:c r="K11" s="103" t="n">
        <x:v>1</x:v>
      </x:c>
      <x:c r="L11" s="116" t="str">
        <x:v>segundos/invocação</x:v>
      </x:c>
    </x:row>
    <x:row r="12">
      <x:c r="A12" s="99" t="str">
        <x:v>AWS Lambda ARM</x:v>
      </x:c>
      <x:c r="B12" s="100" t="n">
        <x:v>0.0000133334</x:v>
      </x:c>
      <x:c r="C12" s="99" t="str">
        <x:v>USD/GB-s</x:v>
      </x:c>
      <x:c r="D12" s="99" t="str">
        <x:v>AWS-LAMBDA</x:v>
      </x:c>
      <x:c r="E12" s="116" t="str">
        <x:v>Primeira faixa de duração ARM em us-east-1.</x:v>
      </x:c>
      <x:c r="F12" s="93"/>
      <x:c r="G12" s="93"/>
      <x:c r="H12" s="99" t="str">
        <x:v>Memória Lambda Processor</x:v>
      </x:c>
      <x:c r="I12" s="101" t="n">
        <x:v>0.25</x:v>
      </x:c>
      <x:c r="J12" s="102" t="n">
        <x:v>0.25</x:v>
      </x:c>
      <x:c r="K12" s="103" t="n">
        <x:v>0.25</x:v>
      </x:c>
      <x:c r="L12" s="116" t="str">
        <x:v>GB</x:v>
      </x:c>
    </x:row>
    <x:row r="13">
      <x:c r="A13" s="99" t="str">
        <x:v>AWS Lambda — solicitações</x:v>
      </x:c>
      <x:c r="B13" s="100" t="n">
        <x:v>0.2</x:v>
      </x:c>
      <x:c r="C13" s="99" t="str">
        <x:v>USD/1 mi req.</x:v>
      </x:c>
      <x:c r="D13" s="99" t="str">
        <x:v>AWS-LAMBDA</x:v>
      </x:c>
      <x:c r="E13" s="116" t="str">
        <x:v>Sem descontar Free Tier.</x:v>
      </x:c>
      <x:c r="F13" s="93"/>
      <x:c r="G13" s="93"/>
      <x:c r="H13" s="99" t="str">
        <x:v>SQS ações equivalentes</x:v>
      </x:c>
      <x:c r="I13" s="101" t="n">
        <x:v>1.2</x:v>
      </x:c>
      <x:c r="J13" s="102" t="n">
        <x:v>1.2</x:v>
      </x:c>
      <x:c r="K13" s="103" t="n">
        <x:v>1.2</x:v>
      </x:c>
      <x:c r="L13" s="116" t="str">
        <x:v>solicitações/evento; send + receive/delete em lote</x:v>
      </x:c>
    </x:row>
    <x:row r="14">
      <x:c r="A14" s="99" t="str">
        <x:v>Step Functions Standard</x:v>
      </x:c>
      <x:c r="B14" s="100" t="n">
        <x:v>0.000025</x:v>
      </x:c>
      <x:c r="C14" s="99" t="str">
        <x:v>USD/transição</x:v>
      </x:c>
      <x:c r="D14" s="99" t="str">
        <x:v>AWS-SFN</x:v>
      </x:c>
      <x:c r="E14" s="116" t="str">
        <x:v>Equivale a USD 0,025 por mil transições.</x:v>
      </x:c>
      <x:c r="F14" s="93"/>
      <x:c r="G14" s="93"/>
      <x:c r="H14" s="99" t="str">
        <x:v>Ações na transação DynamoDB</x:v>
      </x:c>
      <x:c r="I14" s="101" t="n">
        <x:v>7</x:v>
      </x:c>
      <x:c r="J14" s="102" t="n">
        <x:v>7</x:v>
      </x:c>
      <x:c r="K14" s="103" t="n">
        <x:v>7</x:v>
      </x:c>
      <x:c r="L14" s="116" t="str">
        <x:v>2 puts + 5 updates</x:v>
      </x:c>
    </x:row>
    <x:row r="15">
      <x:c r="A15" s="99" t="str">
        <x:v>Secrets Manager — segredo</x:v>
      </x:c>
      <x:c r="B15" s="100" t="n">
        <x:v>0.4</x:v>
      </x:c>
      <x:c r="C15" s="99" t="str">
        <x:v>USD/segredo-mês</x:v>
      </x:c>
      <x:c r="D15" s="99" t="str">
        <x:v>AWS-SECRETS</x:v>
      </x:c>
      <x:c r="E15" s="116" t="str">
        <x:v>Um segredo para a chave da API Batch.</x:v>
      </x:c>
      <x:c r="F15" s="93"/>
      <x:c r="G15" s="93"/>
      <x:c r="H15" s="99" t="str">
        <x:v>WRU por ação transacional</x:v>
      </x:c>
      <x:c r="I15" s="101" t="n">
        <x:v>2</x:v>
      </x:c>
      <x:c r="J15" s="102" t="n">
        <x:v>2</x:v>
      </x:c>
      <x:c r="K15" s="103" t="n">
        <x:v>2</x:v>
      </x:c>
      <x:c r="L15" s="116" t="str">
        <x:v>itens ≤1 KB</x:v>
      </x:c>
    </x:row>
    <x:row r="16">
      <x:c r="A16" s="99" t="str">
        <x:v>Secrets Manager — API</x:v>
      </x:c>
      <x:c r="B16" s="100" t="n">
        <x:v>0.05</x:v>
      </x:c>
      <x:c r="C16" s="99" t="str">
        <x:v>USD/10 mil req.</x:v>
      </x:c>
      <x:c r="D16" s="99" t="str">
        <x:v>AWS-SECRETS</x:v>
      </x:c>
      <x:c r="E16" s="116" t="str">
        <x:v>GetSecretValue e demais chamadas.</x:v>
      </x:c>
      <x:c r="F16" s="93"/>
      <x:c r="G16" s="93"/>
      <x:c r="H16" s="99" t="str">
        <x:v>Leitura do cofre por evento</x:v>
      </x:c>
      <x:c r="I16" s="101" t="n">
        <x:v>1</x:v>
      </x:c>
      <x:c r="J16" s="102" t="n">
        <x:v>1</x:v>
      </x:c>
      <x:c r="K16" s="103" t="n">
        <x:v>1</x:v>
      </x:c>
      <x:c r="L16" s="116" t="str">
        <x:v>RRU forte/evento</x:v>
      </x:c>
    </x:row>
    <x:row r="17">
      <x:c r="A17" s="99" t="str">
        <x:v>CloudWatch Logs — ingestão</x:v>
      </x:c>
      <x:c r="B17" s="100" t="n">
        <x:v>0.5</x:v>
      </x:c>
      <x:c r="C17" s="99" t="str">
        <x:v>USD/GB</x:v>
      </x:c>
      <x:c r="D17" s="99" t="str">
        <x:v>AWS-CW</x:v>
      </x:c>
      <x:c r="E17" s="116" t="str">
        <x:v>Primeira faixa de logs em us-east-1.</x:v>
      </x:c>
      <x:c r="F17" s="93"/>
      <x:c r="G17" s="93"/>
      <x:c r="H17" s="99" t="str">
        <x:v>Escrita de token por novo paciente</x:v>
      </x:c>
      <x:c r="I17" s="101" t="n">
        <x:v>1</x:v>
      </x:c>
      <x:c r="J17" s="102" t="n">
        <x:v>1</x:v>
      </x:c>
      <x:c r="K17" s="103" t="n">
        <x:v>1</x:v>
      </x:c>
      <x:c r="L17" s="116" t="str">
        <x:v>WRU</x:v>
      </x:c>
    </x:row>
    <x:row r="18">
      <x:c r="A18" s="99" t="str">
        <x:v>CloudWatch Logs — retenção</x:v>
      </x:c>
      <x:c r="B18" s="100" t="n">
        <x:v>0.03</x:v>
      </x:c>
      <x:c r="C18" s="99" t="str">
        <x:v>USD/GB-mês</x:v>
      </x:c>
      <x:c r="D18" s="99" t="str">
        <x:v>AWS-CW</x:v>
      </x:c>
      <x:c r="E18" s="116" t="str">
        <x:v>Retenção configurada em 30 dias.</x:v>
      </x:c>
      <x:c r="F18" s="93"/>
      <x:c r="G18" s="93"/>
      <x:c r="H18" s="99" t="str">
        <x:v>UFs consultadas pelo dashboard</x:v>
      </x:c>
      <x:c r="I18" s="101" t="n">
        <x:v>27</x:v>
      </x:c>
      <x:c r="J18" s="102" t="n">
        <x:v>27</x:v>
      </x:c>
      <x:c r="K18" s="103" t="n">
        <x:v>27</x:v>
      </x:c>
      <x:c r="L18" s="116" t="str">
        <x:v>UFs</x:v>
      </x:c>
    </x:row>
    <x:row r="19">
      <x:c r="A19" s="99" t="str">
        <x:v>CloudWatch — alarme padrão</x:v>
      </x:c>
      <x:c r="B19" s="100" t="n">
        <x:v>0.1</x:v>
      </x:c>
      <x:c r="C19" s="99" t="str">
        <x:v>USD/alarme-mês</x:v>
      </x:c>
      <x:c r="D19" s="99" t="str">
        <x:v>AWS-CW</x:v>
      </x:c>
      <x:c r="E19" s="116" t="str">
        <x:v>Métrica padrão por alarme.</x:v>
      </x:c>
      <x:c r="F19" s="93"/>
      <x:c r="G19" s="93"/>
      <x:c r="H19" s="99" t="str">
        <x:v>Shards por indicador</x:v>
      </x:c>
      <x:c r="I19" s="101" t="n">
        <x:v>8</x:v>
      </x:c>
      <x:c r="J19" s="102" t="n">
        <x:v>8</x:v>
      </x:c>
      <x:c r="K19" s="103" t="n">
        <x:v>8</x:v>
      </x:c>
      <x:c r="L19" s="116" t="str">
        <x:v>shards</x:v>
      </x:c>
    </x:row>
    <x:row r="20">
      <x:c r="A20" s="99" t="str">
        <x:v>CloudWatch — métrica detalhada</x:v>
      </x:c>
      <x:c r="B20" s="100" t="n">
        <x:v>0.3</x:v>
      </x:c>
      <x:c r="C20" s="99" t="str">
        <x:v>USD/métrica-mês</x:v>
      </x:c>
      <x:c r="D20" s="99" t="str">
        <x:v>AWS-CW</x:v>
      </x:c>
      <x:c r="E20" s="116" t="str">
        <x:v>Estimativa para métricas detalhadas do API Gateway.</x:v>
      </x:c>
      <x:c r="F20" s="93"/>
      <x:c r="G20" s="93"/>
      <x:c r="H20" s="99" t="str">
        <x:v>Atualização do dashboard</x:v>
      </x:c>
      <x:c r="I20" s="101" t="n">
        <x:v>120</x:v>
      </x:c>
      <x:c r="J20" s="102" t="n">
        <x:v>120</x:v>
      </x:c>
      <x:c r="K20" s="103" t="n">
        <x:v>120</x:v>
      </x:c>
      <x:c r="L20" s="116" t="str">
        <x:v>segundos</x:v>
      </x:c>
    </x:row>
    <x:row r="21">
      <x:c r="A21" s="99" t="str">
        <x:v>Amazon SQS Standard</x:v>
      </x:c>
      <x:c r="B21" s="100" t="n">
        <x:v>0.4</x:v>
      </x:c>
      <x:c r="C21" s="99" t="str">
        <x:v>USD/1 mi req.</x:v>
      </x:c>
      <x:c r="D21" s="99" t="str">
        <x:v>AWS-SQS</x:v>
      </x:c>
      <x:c r="E21" s="116" t="str">
        <x:v>Mensagens até 64 KB; inclui ações de API.</x:v>
      </x:c>
      <x:c r="F21" s="93"/>
      <x:c r="G21" s="93"/>
      <x:c r="H21" s="99" t="str">
        <x:v>Dashboard ativo</x:v>
      </x:c>
      <x:c r="I21" s="101" t="n">
        <x:v>8</x:v>
      </x:c>
      <x:c r="J21" s="102" t="n">
        <x:v>8</x:v>
      </x:c>
      <x:c r="K21" s="103" t="n">
        <x:v>8</x:v>
      </x:c>
      <x:c r="L21" s="116" t="str">
        <x:v>horas/dia</x:v>
      </x:c>
    </x:row>
    <x:row r="22">
      <x:c r="A22" s="99" t="str">
        <x:v>DynamoDB on-demand — escrita</x:v>
      </x:c>
      <x:c r="B22" s="100" t="n">
        <x:v>0.625</x:v>
      </x:c>
      <x:c r="C22" s="99" t="str">
        <x:v>USD/1 mi WRU</x:v>
      </x:c>
      <x:c r="D22" s="99" t="str">
        <x:v>AWS-DDB</x:v>
      </x:c>
      <x:c r="E22" s="116" t="str">
        <x:v>Tabela Standard, modo PAY_PER_REQUEST.</x:v>
      </x:c>
      <x:c r="F22" s="93"/>
      <x:c r="G22" s="93"/>
      <x:c r="H22" s="99" t="str">
        <x:v>Janela consultada</x:v>
      </x:c>
      <x:c r="I22" s="101" t="n">
        <x:v>60</x:v>
      </x:c>
      <x:c r="J22" s="102" t="n">
        <x:v>60</x:v>
      </x:c>
      <x:c r="K22" s="103" t="n">
        <x:v>60</x:v>
      </x:c>
      <x:c r="L22" s="116" t="str">
        <x:v>minutos</x:v>
      </x:c>
    </x:row>
    <x:row r="23">
      <x:c r="A23" s="99" t="str">
        <x:v>DynamoDB on-demand — leitura</x:v>
      </x:c>
      <x:c r="B23" s="100" t="n">
        <x:v>0.125</x:v>
      </x:c>
      <x:c r="C23" s="99" t="str">
        <x:v>USD/1 mi RRU</x:v>
      </x:c>
      <x:c r="D23" s="99" t="str">
        <x:v>AWS-DDB</x:v>
      </x:c>
      <x:c r="E23" s="116" t="str">
        <x:v>Tabela Standard, modo PAY_PER_REQUEST.</x:v>
      </x:c>
      <x:c r="F23" s="93"/>
      <x:c r="G23" s="93"/>
      <x:c r="H23" s="99" t="str">
        <x:v>RRU por item de indicador</x:v>
      </x:c>
      <x:c r="I23" s="101" t="n">
        <x:v>0.5</x:v>
      </x:c>
      <x:c r="J23" s="102" t="n">
        <x:v>0.5</x:v>
      </x:c>
      <x:c r="K23" s="103" t="n">
        <x:v>0.5</x:v>
      </x:c>
      <x:c r="L23" s="116" t="str">
        <x:v>leitura eventual ≤4 KB</x:v>
      </x:c>
    </x:row>
    <x:row r="24">
      <x:c r="A24" s="99" t="str">
        <x:v>DynamoDB — armazenamento</x:v>
      </x:c>
      <x:c r="B24" s="100" t="n">
        <x:v>0.25</x:v>
      </x:c>
      <x:c r="C24" s="99" t="str">
        <x:v>USD/GB-mês</x:v>
      </x:c>
      <x:c r="D24" s="99" t="str">
        <x:v>AWS-DDB</x:v>
      </x:c>
      <x:c r="E24" s="116" t="str">
        <x:v>Sem descontar os 25 GB do Free Tier.</x:v>
      </x:c>
      <x:c r="F24" s="93"/>
      <x:c r="G24" s="93"/>
      <x:c r="H24" s="99" t="str">
        <x:v>Outras chamadas da API</x:v>
      </x:c>
      <x:c r="I24" s="101" t="n">
        <x:v>10000</x:v>
      </x:c>
      <x:c r="J24" s="102" t="n">
        <x:v>10000</x:v>
      </x:c>
      <x:c r="K24" s="103" t="n">
        <x:v>10000</x:v>
      </x:c>
      <x:c r="L24" s="116" t="str">
        <x:v>health e histórico/mês</x:v>
      </x:c>
    </x:row>
    <x:row r="25">
      <x:c r="A25" s="99" t="str">
        <x:v>DynamoDB — PITR</x:v>
      </x:c>
      <x:c r="B25" s="100" t="n">
        <x:v>0.2</x:v>
      </x:c>
      <x:c r="C25" s="99" t="str">
        <x:v>USD/GB-mês</x:v>
      </x:c>
      <x:c r="D25" s="99" t="str">
        <x:v>AWS-DDB-PITR</x:v>
      </x:c>
      <x:c r="E25" s="116" t="str">
        <x:v>Recuperação point-in-time habilitada nas 4 tabelas.</x:v>
      </x:c>
      <x:c r="F25" s="93"/>
      <x:c r="G25" s="93"/>
      <x:c r="H25" s="99" t="str">
        <x:v>Duração Lambda API</x:v>
      </x:c>
      <x:c r="I25" s="101" t="n">
        <x:v>0.5</x:v>
      </x:c>
      <x:c r="J25" s="102" t="n">
        <x:v>0.5</x:v>
      </x:c>
      <x:c r="K25" s="103" t="n">
        <x:v>0.5</x:v>
      </x:c>
      <x:c r="L25" s="116" t="str">
        <x:v>segundos/chamada</x:v>
      </x:c>
    </x:row>
    <x:row r="26">
      <x:c r="A26" s="99" t="str">
        <x:v>API Gateway HTTP API</x:v>
      </x:c>
      <x:c r="B26" s="100" t="n">
        <x:v>1</x:v>
      </x:c>
      <x:c r="C26" s="99" t="str">
        <x:v>USD/1 mi req.</x:v>
      </x:c>
      <x:c r="D26" s="99" t="str">
        <x:v>AWS-APIGW</x:v>
      </x:c>
      <x:c r="E26" s="116" t="str">
        <x:v>Primeira faixa de chamadas HTTP API.</x:v>
      </x:c>
      <x:c r="F26" s="93"/>
      <x:c r="G26" s="93"/>
      <x:c r="H26" s="99" t="str">
        <x:v>Memória Lambda API</x:v>
      </x:c>
      <x:c r="I26" s="101" t="n">
        <x:v>0.25</x:v>
      </x:c>
      <x:c r="J26" s="102" t="n">
        <x:v>0.25</x:v>
      </x:c>
      <x:c r="K26" s="103" t="n">
        <x:v>0.25</x:v>
      </x:c>
      <x:c r="L26" s="116" t="str">
        <x:v>GB</x:v>
      </x:c>
    </x:row>
    <x:row r="27">
      <x:c r="A27" s="99" t="str">
        <x:v>AWS KMS — chave HMAC</x:v>
      </x:c>
      <x:c r="B27" s="100" t="n">
        <x:v>1</x:v>
      </x:c>
      <x:c r="C27" s="99" t="str">
        <x:v>USD/chave-mês</x:v>
      </x:c>
      <x:c r="D27" s="99" t="str">
        <x:v>AWS-KMS</x:v>
      </x:c>
      <x:c r="E27" s="116" t="str">
        <x:v>Uma chave HMAC-SHA-256.</x:v>
      </x:c>
      <x:c r="F27" s="93"/>
      <x:c r="G27" s="93"/>
      <x:c r="H27" s="99" t="str">
        <x:v>Consultas de histórico por mês</x:v>
      </x:c>
      <x:c r="I27" s="101" t="n">
        <x:v>1000</x:v>
      </x:c>
      <x:c r="J27" s="102" t="n">
        <x:v>1000</x:v>
      </x:c>
      <x:c r="K27" s="103" t="n">
        <x:v>1000</x:v>
      </x:c>
      <x:c r="L27" s="116" t="str">
        <x:v>KMS GenerateMac</x:v>
      </x:c>
    </x:row>
    <x:row r="28">
      <x:c r="A28" s="99" t="str">
        <x:v>AWS KMS — solicitações</x:v>
      </x:c>
      <x:c r="B28" s="100" t="n">
        <x:v>0.03</x:v>
      </x:c>
      <x:c r="C28" s="99" t="str">
        <x:v>USD/10 mil req.</x:v>
      </x:c>
      <x:c r="D28" s="99" t="str">
        <x:v>AWS-KMS</x:v>
      </x:c>
      <x:c r="E28" s="116" t="str">
        <x:v>GenerateMac por evento e por consulta de CPF.</x:v>
      </x:c>
      <x:c r="F28" s="93"/>
      <x:c r="G28" s="93"/>
      <x:c r="H28" s="99" t="str">
        <x:v>Logs Processor</x:v>
      </x:c>
      <x:c r="I28" s="101" t="n">
        <x:v>1</x:v>
      </x:c>
      <x:c r="J28" s="102" t="n">
        <x:v>1</x:v>
      </x:c>
      <x:c r="K28" s="103" t="n">
        <x:v>1</x:v>
      </x:c>
      <x:c r="L28" s="116" t="str">
        <x:v>KB/evento</x:v>
      </x:c>
    </x:row>
    <x:row r="29">
      <x:c r="A29" s="99" t="str">
        <x:v>Amazon SNS</x:v>
      </x:c>
      <x:c r="B29" s="100" t="n">
        <x:v>0.5</x:v>
      </x:c>
      <x:c r="C29" s="99" t="str">
        <x:v>USD/1 mi req.</x:v>
      </x:c>
      <x:c r="D29" s="99" t="str">
        <x:v>AWS-SNS</x:v>
      </x:c>
      <x:c r="E29" s="116" t="str">
        <x:v>Publicação de alertas; sem assinaturas pagas.</x:v>
      </x:c>
      <x:c r="F29" s="93"/>
      <x:c r="G29" s="93"/>
      <x:c r="H29" s="99" t="str">
        <x:v>Logs API</x:v>
      </x:c>
      <x:c r="I29" s="101" t="n">
        <x:v>0.5</x:v>
      </x:c>
      <x:c r="J29" s="102" t="n">
        <x:v>0.5</x:v>
      </x:c>
      <x:c r="K29" s="103" t="n">
        <x:v>0.5</x:v>
      </x:c>
      <x:c r="L29" s="116" t="str">
        <x:v>KB/chamada</x:v>
      </x:c>
    </x:row>
    <x:row r="30">
      <x:c r="A30" s="99" t="str">
        <x:v>Transferência internet</x:v>
      </x:c>
      <x:c r="B30" s="100" t="n">
        <x:v>0.09</x:v>
      </x:c>
      <x:c r="C30" s="99" t="str">
        <x:v>USD/GB</x:v>
      </x:c>
      <x:c r="D30" s="99" t="str">
        <x:v>AWS-APIGW</x:v>
      </x:c>
      <x:c r="E30" s="116" t="str">
        <x:v>Hipótese conservadora para saída de resposta da API.</x:v>
      </x:c>
      <x:c r="F30" s="93"/>
      <x:c r="G30" s="93"/>
      <x:c r="H30" s="99" t="str">
        <x:v>Histórico por evento</x:v>
      </x:c>
      <x:c r="I30" s="101" t="n">
        <x:v>1.5</x:v>
      </x:c>
      <x:c r="J30" s="102" t="n">
        <x:v>1.5</x:v>
      </x:c>
      <x:c r="K30" s="103" t="n">
        <x:v>1.5</x:v>
      </x:c>
      <x:c r="L30" s="116" t="str">
        <x:v>KB</x:v>
      </x:c>
    </x:row>
    <x:row r="31">
      <x:c r="A31" s="99" t="str">
        <x:v>AWS IAM</x:v>
      </x:c>
      <x:c r="B31" s="100" t="n">
        <x:v>0</x:v>
      </x:c>
      <x:c r="C31" s="99" t="str">
        <x:v>USD</x:v>
      </x:c>
      <x:c r="D31" s="99" t="str">
        <x:v>AWS-IAM</x:v>
      </x:c>
      <x:c r="E31" s="116" t="str">
        <x:v>Sem cobrança pelo serviço IAM.</x:v>
      </x:c>
      <x:c r="F31" s="93"/>
      <x:c r="G31" s="93"/>
      <x:c r="H31" s="99" t="str">
        <x:v>Token por paciente</x:v>
      </x:c>
      <x:c r="I31" s="101" t="n">
        <x:v>0.25</x:v>
      </x:c>
      <x:c r="J31" s="102" t="n">
        <x:v>0.25</x:v>
      </x:c>
      <x:c r="K31" s="103" t="n">
        <x:v>0.25</x:v>
      </x:c>
      <x:c r="L31" s="116" t="str">
        <x:v>KB</x:v>
      </x:c>
    </x:row>
    <x:row r="32">
      <x:c r="A32" s="99" t="str">
        <x:v>Terraform OSS</x:v>
      </x:c>
      <x:c r="B32" s="100" t="n">
        <x:v>0</x:v>
      </x:c>
      <x:c r="C32" s="99" t="str">
        <x:v>USD</x:v>
      </x:c>
      <x:c r="D32" s="99" t="str">
        <x:v>TF</x:v>
      </x:c>
      <x:c r="E32" s="116" t="str">
        <x:v>Ferramenta local; sem custo de licença no modelo.</x:v>
      </x:c>
      <x:c r="F32" s="93"/>
      <x:c r="G32" s="93"/>
      <x:c r="H32" s="99" t="str">
        <x:v>Idempotência por evento</x:v>
      </x:c>
      <x:c r="I32" s="101" t="n">
        <x:v>0.15</x:v>
      </x:c>
      <x:c r="J32" s="102" t="n">
        <x:v>0.15</x:v>
      </x:c>
      <x:c r="K32" s="103" t="n">
        <x:v>0.15</x:v>
      </x:c>
      <x:c r="L32" s="116" t="str">
        <x:v>KB</x:v>
      </x:c>
    </x:row>
    <x:row r="33">
      <x:c r="A33" s="108" t="str">
        <x:v>Glue Data Catalog</x:v>
      </x:c>
      <x:c r="B33" s="109" t="n">
        <x:v>0</x:v>
      </x:c>
      <x:c r="C33" s="108" t="str">
        <x:v>USD</x:v>
      </x:c>
      <x:c r="D33" s="108" t="str">
        <x:v>AWS-GLUE</x:v>
      </x:c>
      <x:c r="E33" s="117" t="str">
        <x:v>Volume do projeto abaixo do primeiro milhão de objetos/acessos.</x:v>
      </x:c>
      <x:c r="F33" s="93"/>
      <x:c r="G33" s="93"/>
      <x:c r="H33" s="99" t="str">
        <x:v>Indicadores por evento (efetivo)</x:v>
      </x:c>
      <x:c r="I33" s="101" t="n">
        <x:v>0.1</x:v>
      </x:c>
      <x:c r="J33" s="102" t="n">
        <x:v>0.1</x:v>
      </x:c>
      <x:c r="K33" s="103" t="n">
        <x:v>0.1</x:v>
      </x:c>
      <x:c r="L33" s="116" t="str">
        <x:v>KB</x:v>
      </x:c>
    </x:row>
    <x:row r="34">
      <x:c r="A34" s="93"/>
      <x:c r="B34" s="93"/>
      <x:c r="C34" s="93"/>
      <x:c r="D34" s="93"/>
      <x:c r="E34" s="118"/>
      <x:c r="F34" s="93"/>
      <x:c r="G34" s="93"/>
      <x:c r="H34" s="99" t="str">
        <x:v>TTL histórico</x:v>
      </x:c>
      <x:c r="I34" s="101" t="n">
        <x:v>90</x:v>
      </x:c>
      <x:c r="J34" s="102" t="n">
        <x:v>90</x:v>
      </x:c>
      <x:c r="K34" s="103" t="n">
        <x:v>90</x:v>
      </x:c>
      <x:c r="L34" s="116" t="str">
        <x:v>dias</x:v>
      </x:c>
    </x:row>
    <x:row r="35">
      <x:c r="A35" s="93"/>
      <x:c r="B35" s="93"/>
      <x:c r="C35" s="93"/>
      <x:c r="D35" s="93"/>
      <x:c r="E35" s="118"/>
      <x:c r="F35" s="93"/>
      <x:c r="G35" s="93"/>
      <x:c r="H35" s="99" t="str">
        <x:v>TTL token</x:v>
      </x:c>
      <x:c r="I35" s="101" t="n">
        <x:v>365</x:v>
      </x:c>
      <x:c r="J35" s="102" t="n">
        <x:v>365</x:v>
      </x:c>
      <x:c r="K35" s="103" t="n">
        <x:v>365</x:v>
      </x:c>
      <x:c r="L35" s="116" t="str">
        <x:v>dias</x:v>
      </x:c>
    </x:row>
    <x:row r="36" ht="22" customHeight="1">
      <x:c r="A36" s="68" t="str">
        <x:v>Batch — volumes históricos e armazenamento</x:v>
      </x:c>
      <x:c r="B36" s="68" t="str">
        <x:v>Batch — volumes históricos e armazenamento</x:v>
      </x:c>
      <x:c r="C36" s="68" t="str">
        <x:v>Batch — volumes históricos e armazenamento</x:v>
      </x:c>
      <x:c r="D36" s="68" t="str">
        <x:v>Batch — volumes históricos e armazenamento</x:v>
      </x:c>
      <x:c r="E36" s="119" t="str">
        <x:v>Batch — volumes históricos e armazenamento</x:v>
      </x:c>
      <x:c r="F36" s="93"/>
      <x:c r="G36" s="93"/>
      <x:c r="H36" s="99" t="str">
        <x:v>TTL idempotência</x:v>
      </x:c>
      <x:c r="I36" s="101" t="n">
        <x:v>7</x:v>
      </x:c>
      <x:c r="J36" s="102" t="n">
        <x:v>7</x:v>
      </x:c>
      <x:c r="K36" s="103" t="n">
        <x:v>7</x:v>
      </x:c>
      <x:c r="L36" s="116" t="str">
        <x:v>dias</x:v>
      </x:c>
    </x:row>
    <x:row r="37">
      <x:c r="A37" s="69" t="str">
        <x:v>Premissa</x:v>
      </x:c>
      <x:c r="B37" s="70" t="str">
        <x:v>Valor</x:v>
      </x:c>
      <x:c r="C37" s="70" t="str">
        <x:v>Unidade</x:v>
      </x:c>
      <x:c r="D37" s="70" t="str">
        <x:v>Origem</x:v>
      </x:c>
      <x:c r="E37" s="71" t="str">
        <x:v>Observação</x:v>
      </x:c>
      <x:c r="F37" s="93"/>
      <x:c r="G37" s="93"/>
      <x:c r="H37" s="99" t="str">
        <x:v>TTL indicadores</x:v>
      </x:c>
      <x:c r="I37" s="101" t="n">
        <x:v>30</x:v>
      </x:c>
      <x:c r="J37" s="102" t="n">
        <x:v>30</x:v>
      </x:c>
      <x:c r="K37" s="103" t="n">
        <x:v>30</x:v>
      </x:c>
      <x:c r="L37" s="116" t="str">
        <x:v>dias</x:v>
      </x:c>
    </x:row>
    <x:row r="38">
      <x:c r="A38" s="94" t="str">
        <x:v>Registros Bronze</x:v>
      </x:c>
      <x:c r="B38" s="110" t="n">
        <x:v>8287799</x:v>
      </x:c>
      <x:c r="C38" s="94" t="str">
        <x:v>registros</x:v>
      </x:c>
      <x:c r="D38" s="94" t="str">
        <x:v>REPO</x:v>
      </x:c>
      <x:c r="E38" s="115" t="str">
        <x:v>Backfill de 2024-01 a 2026-02.</x:v>
      </x:c>
      <x:c r="F38" s="93"/>
      <x:c r="G38" s="93"/>
      <x:c r="H38" s="99" t="str">
        <x:v>Métricas detalhadas API Gateway</x:v>
      </x:c>
      <x:c r="I38" s="101" t="n">
        <x:v>18</x:v>
      </x:c>
      <x:c r="J38" s="102" t="n">
        <x:v>18</x:v>
      </x:c>
      <x:c r="K38" s="103" t="n">
        <x:v>18</x:v>
      </x:c>
      <x:c r="L38" s="116" t="str">
        <x:v>estimativa: 3 rotas × 6 métricas</x:v>
      </x:c>
    </x:row>
    <x:row r="39">
      <x:c r="A39" s="99" t="str">
        <x:v>Registros Gold</x:v>
      </x:c>
      <x:c r="B39" s="111" t="n">
        <x:v>8227642</x:v>
      </x:c>
      <x:c r="C39" s="99" t="str">
        <x:v>registros</x:v>
      </x:c>
      <x:c r="D39" s="99" t="str">
        <x:v>REPO</x:v>
      </x:c>
      <x:c r="E39" s="116" t="str">
        <x:v>Snapshot analítico reconciliado.</x:v>
      </x:c>
      <x:c r="F39" s="93"/>
      <x:c r="G39" s="93"/>
      <x:c r="H39" s="99" t="str">
        <x:v>Alarmes NRT</x:v>
      </x:c>
      <x:c r="I39" s="101" t="n">
        <x:v>5</x:v>
      </x:c>
      <x:c r="J39" s="102" t="n">
        <x:v>5</x:v>
      </x:c>
      <x:c r="K39" s="103" t="n">
        <x:v>5</x:v>
      </x:c>
      <x:c r="L39" s="116" t="str">
        <x:v>SQS/DLQ, Processor e API</x:v>
      </x:c>
    </x:row>
    <x:row r="40">
      <x:c r="A40" s="99" t="str">
        <x:v>Registros em Quarentena</x:v>
      </x:c>
      <x:c r="B40" s="111" t="n">
        <x:v>60157</x:v>
      </x:c>
      <x:c r="C40" s="99" t="str">
        <x:v>registros</x:v>
      </x:c>
      <x:c r="D40" s="99" t="str">
        <x:v>REPO</x:v>
      </x:c>
      <x:c r="E40" s="116" t="str">
        <x:v>Regras obrigatórias de DQ.</x:v>
      </x:c>
      <x:c r="F40" s="93"/>
      <x:c r="G40" s="93"/>
      <x:c r="H40" s="99" t="str">
        <x:v>Publicações SNS esperadas</x:v>
      </x:c>
      <x:c r="I40" s="101" t="n">
        <x:v>0</x:v>
      </x:c>
      <x:c r="J40" s="102" t="n">
        <x:v>0</x:v>
      </x:c>
      <x:c r="K40" s="103" t="n">
        <x:v>0</x:v>
      </x:c>
      <x:c r="L40" s="116" t="str">
        <x:v>sem falhas no cenário-base</x:v>
      </x:c>
    </x:row>
    <x:row r="41">
      <x:c r="A41" s="99" t="str">
        <x:v>Períodos mensais do backfill</x:v>
      </x:c>
      <x:c r="B41" s="111" t="n">
        <x:v>26</x:v>
      </x:c>
      <x:c r="C41" s="99" t="str">
        <x:v>meses</x:v>
      </x:c>
      <x:c r="D41" s="99" t="str">
        <x:v>REPO</x:v>
      </x:c>
      <x:c r="E41" s="116" t="str">
        <x:v>Janeiro/2024 a fevereiro/2026.</x:v>
      </x:c>
      <x:c r="F41" s="93"/>
      <x:c r="G41" s="93"/>
      <x:c r="H41" s="99" t="str">
        <x:v>Resposta média da API</x:v>
      </x:c>
      <x:c r="I41" s="101" t="n">
        <x:v>2</x:v>
      </x:c>
      <x:c r="J41" s="102" t="n">
        <x:v>2</x:v>
      </x:c>
      <x:c r="K41" s="103" t="n">
        <x:v>2</x:v>
      </x:c>
      <x:c r="L41" s="116" t="str">
        <x:v>KB</x:v>
      </x:c>
    </x:row>
    <x:row r="42">
      <x:c r="A42" s="99" t="str">
        <x:v>Dias cobertos pelo histórico</x:v>
      </x:c>
      <x:c r="B42" s="111" t="n">
        <x:v>790</x:v>
      </x:c>
      <x:c r="C42" s="99" t="str">
        <x:v>dias</x:v>
      </x:c>
      <x:c r="D42" s="99" t="str">
        <x:v>CALC</x:v>
      </x:c>
      <x:c r="E42" s="116" t="str">
        <x:v>2024-01-01 a 2026-02-28.</x:v>
      </x:c>
      <x:c r="F42" s="93"/>
      <x:c r="G42" s="93"/>
      <x:c r="H42" s="99" t="str">
        <x:v>Ciclos do dashboard por mês</x:v>
      </x:c>
      <x:c r="I42" s="104" t="n">
        <x:f>I21*3600/I20*I7</x:f>
        <x:v>7200</x:v>
      </x:c>
      <x:c r="J42" s="104" t="n">
        <x:f>J21*3600/J20*J7</x:f>
        <x:v>7200</x:v>
      </x:c>
      <x:c r="K42" s="104" t="n">
        <x:f>K21*3600/K20*K7</x:f>
        <x:v>7200</x:v>
      </x:c>
      <x:c r="L42" s="116" t="str">
        <x:v>calculado</x:v>
      </x:c>
    </x:row>
    <x:row r="43">
      <x:c r="A43" s="99" t="str">
        <x:v>Média diária histórica</x:v>
      </x:c>
      <x:c r="B43" s="104" t="n">
        <x:f>B38/B42</x:f>
        <x:v>10490.884810126583</x:v>
      </x:c>
      <x:c r="C43" s="99" t="str">
        <x:v>registros/dia</x:v>
      </x:c>
      <x:c r="D43" s="99" t="str">
        <x:v>CALC</x:v>
      </x:c>
      <x:c r="E43" s="116" t="str">
        <x:v>Bronze dividido pelos dias cobertos.</x:v>
      </x:c>
      <x:c r="F43" s="93"/>
      <x:c r="G43" s="93"/>
      <x:c r="H43" s="99" t="str">
        <x:v>Eventos por hora</x:v>
      </x:c>
      <x:c r="I43" s="104" t="n">
        <x:f>I6/24</x:f>
        <x:v>416.6666666666667</x:v>
      </x:c>
      <x:c r="J43" s="104" t="n">
        <x:f>J6/24</x:f>
        <x:v>1041.6666666666667</x:v>
      </x:c>
      <x:c r="K43" s="104" t="n">
        <x:f>K6/24</x:f>
        <x:v>1791.6666666666667</x:v>
      </x:c>
      <x:c r="L43" s="116" t="str">
        <x:v>calculado</x:v>
      </x:c>
    </x:row>
    <x:row r="44">
      <x:c r="A44" s="99" t="str">
        <x:v>Amostra diária</x:v>
      </x:c>
      <x:c r="B44" s="111" t="n">
        <x:v>934</x:v>
      </x:c>
      <x:c r="C44" s="99" t="str">
        <x:v>registros</x:v>
      </x:c>
      <x:c r="D44" s="99" t="str">
        <x:v>TESTE</x:v>
      </x:c>
      <x:c r="E44" s="116" t="str">
        <x:v>Execução de 2024-01-01.</x:v>
      </x:c>
      <x:c r="F44" s="93"/>
      <x:c r="G44" s="93"/>
      <x:c r="H44" s="99" t="str">
        <x:v>RRU por ciclo do dashboard</x:v>
      </x:c>
      <x:c r="I44" s="104" t="n">
        <x:f>MAX(I18*I19*I23,I43*I22/60*I23)</x:f>
        <x:v>208.33333333333334</x:v>
      </x:c>
      <x:c r="J44" s="104" t="n">
        <x:f>MAX(J18*J19*J23,J43*J22/60*J23)</x:f>
        <x:v>520.8333333333334</x:v>
      </x:c>
      <x:c r="K44" s="104" t="n">
        <x:f>MAX(K18*K19*K23,K43*K22/60*K23)</x:f>
        <x:v>895.8333333333334</x:v>
      </x:c>
      <x:c r="L44" s="116" t="str">
        <x:v>mínimo das queries vazias ou itens da janela</x:v>
      </x:c>
    </x:row>
    <x:row r="45">
      <x:c r="A45" s="99" t="str">
        <x:v>Amostra diária comprimida</x:v>
      </x:c>
      <x:c r="B45" s="111" t="n">
        <x:v>70039</x:v>
      </x:c>
      <x:c r="C45" s="99" t="str">
        <x:v>bytes</x:v>
      </x:c>
      <x:c r="D45" s="99" t="str">
        <x:v>TESTE</x:v>
      </x:c>
      <x:c r="E45" s="116" t="str">
        <x:v>Arquivo JSONL.GZ retornado pela API.</x:v>
      </x:c>
      <x:c r="F45" s="93"/>
      <x:c r="G45" s="93"/>
      <x:c r="H45" s="99" t="str">
        <x:v>Chamadas dashboard por mês</x:v>
      </x:c>
      <x:c r="I45" s="104" t="n">
        <x:f>I18*I42</x:f>
        <x:v>194400</x:v>
      </x:c>
      <x:c r="J45" s="104" t="n">
        <x:f>J18*J42</x:f>
        <x:v>194400</x:v>
      </x:c>
      <x:c r="K45" s="104" t="n">
        <x:f>K18*K42</x:f>
        <x:v>194400</x:v>
      </x:c>
      <x:c r="L45" s="116" t="str">
        <x:v>calculado</x:v>
      </x:c>
    </x:row>
    <x:row r="46">
      <x:c r="A46" s="99" t="str">
        <x:v>Bytes comprimidos por registro</x:v>
      </x:c>
      <x:c r="B46" s="104" t="n">
        <x:f>B45/B44</x:f>
        <x:v>74.9882226980728</x:v>
      </x:c>
      <x:c r="C46" s="99" t="str">
        <x:v>bytes/registro</x:v>
      </x:c>
      <x:c r="D46" s="99" t="str">
        <x:v>CALC</x:v>
      </x:c>
      <x:c r="E46" s="116" t="str">
        <x:v>Derivado da amostra diária.</x:v>
      </x:c>
      <x:c r="F46" s="93"/>
      <x:c r="G46" s="93"/>
      <x:c r="H46" s="99" t="str">
        <x:v>Chamadas totais API</x:v>
      </x:c>
      <x:c r="I46" s="104" t="n">
        <x:f>I45+I24</x:f>
        <x:v>204400</x:v>
      </x:c>
      <x:c r="J46" s="104" t="n">
        <x:f>J45+J24</x:f>
        <x:v>204400</x:v>
      </x:c>
      <x:c r="K46" s="104" t="n">
        <x:f>K45+K24</x:f>
        <x:v>204400</x:v>
      </x:c>
      <x:c r="L46" s="116" t="str">
        <x:v>calculado</x:v>
      </x:c>
    </x:row>
    <x:row r="47">
      <x:c r="A47" s="99" t="str">
        <x:v>Staging histórico estimado</x:v>
      </x:c>
      <x:c r="B47" s="104" t="n">
        <x:f>B38*B46/1024/1024/1024</x:f>
        <x:v>0.5788051682420681</x:v>
      </x:c>
      <x:c r="C47" s="99" t="str">
        <x:v>GiB</x:v>
      </x:c>
      <x:c r="D47" s="99" t="str">
        <x:v>CALC</x:v>
      </x:c>
      <x:c r="E47" s="116" t="str">
        <x:v>Volume comprimido estimado pela amostra.</x:v>
      </x:c>
      <x:c r="F47" s="93"/>
      <x:c r="G47" s="93"/>
      <x:c r="H47" s="99" t="str">
        <x:v>Invocações Processor</x:v>
      </x:c>
      <x:c r="I47" s="104" t="n">
        <x:f>I8/I10</x:f>
        <x:v>30000</x:v>
      </x:c>
      <x:c r="J47" s="104" t="n">
        <x:f>J8/J10</x:f>
        <x:v>75000</x:v>
      </x:c>
      <x:c r="K47" s="104" t="n">
        <x:f>K8/K10</x:f>
        <x:v>129000</x:v>
      </x:c>
      <x:c r="L47" s="116" t="str">
        <x:v>calculado</x:v>
      </x:c>
    </x:row>
    <x:row r="48">
      <x:c r="A48" s="99" t="str">
        <x:v>Bronze Parquet estimado</x:v>
      </x:c>
      <x:c r="B48" s="111" t="n">
        <x:v>4</x:v>
      </x:c>
      <x:c r="C48" s="99" t="str">
        <x:v>GiB</x:v>
      </x:c>
      <x:c r="D48" s="99" t="str">
        <x:v>ASSUMP</x:v>
      </x:c>
      <x:c r="E48" s="116" t="str">
        <x:v>Atualize com aws s3 ls --summarize.</x:v>
      </x:c>
      <x:c r="F48" s="93"/>
      <x:c r="G48" s="93"/>
      <x:c r="H48" s="99" t="str">
        <x:v>WRU DynamoDB Processor</x:v>
      </x:c>
      <x:c r="I48" s="104" t="n">
        <x:f>I8*(I13*I14+I9*I16)</x:f>
        <x:v>2760000.0000000005</x:v>
      </x:c>
      <x:c r="J48" s="104" t="n">
        <x:f>J8*(J13*J14+J9*J16)</x:f>
        <x:v>6900000.000000001</x:v>
      </x:c>
      <x:c r="K48" s="104" t="n">
        <x:f>K8*(K13*K14+K9*K16)</x:f>
        <x:v>11868000.000000002</x:v>
      </x:c>
      <x:c r="L48" s="116" t="str">
        <x:v>calculado</x:v>
      </x:c>
    </x:row>
    <x:row r="49">
      <x:c r="A49" s="99" t="str">
        <x:v>Silver Parquet estimado</x:v>
      </x:c>
      <x:c r="B49" s="111" t="n">
        <x:v>3</x:v>
      </x:c>
      <x:c r="C49" s="99" t="str">
        <x:v>GiB</x:v>
      </x:c>
      <x:c r="D49" s="99" t="str">
        <x:v>ASSUMP</x:v>
      </x:c>
      <x:c r="E49" s="116" t="str">
        <x:v>Atualize com aws s3 ls --summarize.</x:v>
      </x:c>
      <x:c r="F49" s="93"/>
      <x:c r="G49" s="93"/>
      <x:c r="H49" s="99" t="str">
        <x:v>RRU DynamoDB Processor</x:v>
      </x:c>
      <x:c r="I49" s="104" t="n">
        <x:f>I8*I15</x:f>
        <x:v>600000</x:v>
      </x:c>
      <x:c r="J49" s="104" t="n">
        <x:f>J8*J15</x:f>
        <x:v>1500000</x:v>
      </x:c>
      <x:c r="K49" s="104" t="n">
        <x:f>K8*K15</x:f>
        <x:v>2580000</x:v>
      </x:c>
      <x:c r="L49" s="116" t="str">
        <x:v>calculado</x:v>
      </x:c>
    </x:row>
    <x:row r="50">
      <x:c r="A50" s="99" t="str">
        <x:v>Quarentena estimada</x:v>
      </x:c>
      <x:c r="B50" s="111" t="n">
        <x:v>0.05</x:v>
      </x:c>
      <x:c r="C50" s="99" t="str">
        <x:v>GiB</x:v>
      </x:c>
      <x:c r="D50" s="99" t="str">
        <x:v>ASSUMP</x:v>
      </x:c>
      <x:c r="E50" s="116" t="str">
        <x:v>Estimativa conservadora.</x:v>
      </x:c>
      <x:c r="F50" s="93"/>
      <x:c r="G50" s="93"/>
      <x:c r="H50" s="99" t="str">
        <x:v>RRU DynamoDB Dashboard</x:v>
      </x:c>
      <x:c r="I50" s="104" t="n">
        <x:f>I42*I44</x:f>
        <x:v>1500000</x:v>
      </x:c>
      <x:c r="J50" s="104" t="n">
        <x:f>J42*J44</x:f>
        <x:v>3750000.0000000005</x:v>
      </x:c>
      <x:c r="K50" s="104" t="n">
        <x:f>K42*K44</x:f>
        <x:v>6450000</x:v>
      </x:c>
      <x:c r="L50" s="116" t="str">
        <x:v>calculado</x:v>
      </x:c>
    </x:row>
    <x:row r="51">
      <x:c r="A51" s="99" t="str">
        <x:v>Gold snapshot estimado</x:v>
      </x:c>
      <x:c r="B51" s="111" t="n">
        <x:v>2.5</x:v>
      </x:c>
      <x:c r="C51" s="99" t="str">
        <x:v>GiB</x:v>
      </x:c>
      <x:c r="D51" s="99" t="str">
        <x:v>ASSUMP</x:v>
      </x:c>
      <x:c r="E51" s="116" t="str">
        <x:v>Fato e dimensões.</x:v>
      </x:c>
      <x:c r="F51" s="93"/>
      <x:c r="G51" s="93"/>
      <x:c r="H51" s="99" t="str">
        <x:v>Armazenamento DynamoDB estável</x:v>
      </x:c>
      <x:c r="I51" s="104" t="n">
        <x:f>(I6*I35*I9*I31+I6*I34*I30+I6*I36*I32+I6*I37*I33)/1024/1024</x:f>
        <x:v>2.022266387939453</x:v>
      </x:c>
      <x:c r="J51" s="104" t="n">
        <x:f>(J6*J35*J9*J31+J6*J34*J30+J6*J36*J32+J6*J37*J33)/1024/1024</x:f>
        <x:v>5.055665969848633</x:v>
      </x:c>
      <x:c r="K51" s="104" t="n">
        <x:f>(K6*K35*K9*K31+K6*K34*K30+K6*K36*K32+K6*K37*K33)/1024/1024</x:f>
        <x:v>8.695745468139648</x:v>
      </x:c>
      <x:c r="L51" s="116" t="str">
        <x:v>GiB com TTLs aplicados</x:v>
      </x:c>
    </x:row>
    <x:row r="52">
      <x:c r="A52" s="99" t="str">
        <x:v>Logs, scripts e resultados</x:v>
      </x:c>
      <x:c r="B52" s="111" t="n">
        <x:v>0.5</x:v>
      </x:c>
      <x:c r="C52" s="99" t="str">
        <x:v>GiB</x:v>
      </x:c>
      <x:c r="D52" s="99" t="str">
        <x:v>ASSUMP</x:v>
      </x:c>
      <x:c r="E52" s="116" t="str">
        <x:v>Buckets auxiliares e Athena.</x:v>
      </x:c>
      <x:c r="F52" s="93"/>
      <x:c r="G52" s="93"/>
      <x:c r="H52" s="99" t="str">
        <x:v>Solicitações KMS</x:v>
      </x:c>
      <x:c r="I52" s="104" t="n">
        <x:f>I8+I27</x:f>
        <x:v>301000</x:v>
      </x:c>
      <x:c r="J52" s="104" t="n">
        <x:f>J8+J27</x:f>
        <x:v>751000</x:v>
      </x:c>
      <x:c r="K52" s="104" t="n">
        <x:f>K8+K27</x:f>
        <x:v>1291000</x:v>
      </x:c>
      <x:c r="L52" s="116" t="str">
        <x:v>calculado</x:v>
      </x:c>
    </x:row>
    <x:row r="53">
      <x:c r="A53" s="99" t="str">
        <x:v>Armazenamento vivo total</x:v>
      </x:c>
      <x:c r="B53" s="104" t="n">
        <x:f>SUM(B47:B52)</x:f>
        <x:v>10.628805168242067</x:v>
      </x:c>
      <x:c r="C53" s="99" t="str">
        <x:v>GiB</x:v>
      </x:c>
      <x:c r="D53" s="99" t="str">
        <x:v>CALC</x:v>
      </x:c>
      <x:c r="E53" s="116" t="str">
        <x:v>Staging + Bronze + Silver + Quarentena + Gold + auxiliares.</x:v>
      </x:c>
      <x:c r="F53" s="93"/>
      <x:c r="G53" s="93"/>
      <x:c r="H53" s="108" t="str">
        <x:v>Logs CloudWatch</x:v>
      </x:c>
      <x:c r="I53" s="112" t="n">
        <x:f>(I8*I28+I46*I29)/1024/1024</x:f>
        <x:v>0.38356781005859375</x:v>
      </x:c>
      <x:c r="J53" s="112" t="n">
        <x:f>(J8*J28+J46*J29)/1024/1024</x:f>
        <x:v>0.8127212524414062</x:v>
      </x:c>
      <x:c r="K53" s="112" t="n">
        <x:f>(K8*K28+K46*K29)/1024/1024</x:f>
        <x:v>1.3277053833007812</x:v>
      </x:c>
      <x:c r="L53" s="117" t="str">
        <x:v>GiB/mês</x:v>
      </x:c>
    </x:row>
    <x:row r="54">
      <x:c r="A54" s="99" t="str">
        <x:v>Snapshots Gold por dia</x:v>
      </x:c>
      <x:c r="B54" s="111" t="n">
        <x:v>1</x:v>
      </x:c>
      <x:c r="C54" s="99" t="str">
        <x:v>snapshot/dia</x:v>
      </x:c>
      <x:c r="D54" s="99" t="str">
        <x:v>REPO</x:v>
      </x:c>
      <x:c r="E54" s="116" t="str">
        <x:v>Gold é reescrita em overwrite.</x:v>
      </x:c>
      <x:c r="F54" s="93"/>
      <x:c r="G54" s="93"/>
      <x:c r="H54" s="93"/>
      <x:c r="I54" s="93"/>
      <x:c r="J54" s="93"/>
      <x:c r="K54" s="93"/>
      <x:c r="L54" s="93"/>
    </x:row>
    <x:row r="55">
      <x:c r="A55" s="99" t="str">
        <x:v>Retenção de versões não atuais</x:v>
      </x:c>
      <x:c r="B55" s="111" t="n">
        <x:v>30</x:v>
      </x:c>
      <x:c r="C55" s="99" t="str">
        <x:v>dias</x:v>
      </x:c>
      <x:c r="D55" s="99" t="str">
        <x:v>ASSUMP</x:v>
      </x:c>
      <x:c r="E55" s="116" t="str">
        <x:v>Recomendação para lifecycle; o repositório não define lifecycle.</x:v>
      </x:c>
      <x:c r="F55" s="93"/>
      <x:c r="G55" s="93"/>
      <x:c r="H55" s="93"/>
      <x:c r="I55" s="93"/>
      <x:c r="J55" s="93"/>
      <x:c r="K55" s="93"/>
      <x:c r="L55" s="93"/>
    </x:row>
    <x:row r="56">
      <x:c r="A56" s="99" t="str">
        <x:v>Versões Gold retidas</x:v>
      </x:c>
      <x:c r="B56" s="104" t="n">
        <x:f>B51*B55</x:f>
        <x:v>75</x:v>
      </x:c>
      <x:c r="C56" s="99" t="str">
        <x:v>GiB</x:v>
      </x:c>
      <x:c r="D56" s="99" t="str">
        <x:v>CALC</x:v>
      </x:c>
      <x:c r="E56" s="116" t="str">
        <x:v>Snapshot Gold × dias de retenção.</x:v>
      </x:c>
      <x:c r="F56" s="93"/>
      <x:c r="G56" s="93"/>
      <x:c r="H56" s="93"/>
      <x:c r="I56" s="93"/>
      <x:c r="J56" s="93"/>
      <x:c r="K56" s="93"/>
      <x:c r="L56" s="93"/>
    </x:row>
    <x:row r="57">
      <x:c r="A57" s="108" t="str">
        <x:v>Crescimento sem lifecycle</x:v>
      </x:c>
      <x:c r="B57" s="112" t="n">
        <x:f>B51*30</x:f>
        <x:v>75</x:v>
      </x:c>
      <x:c r="C57" s="108" t="str">
        <x:v>GiB/mês</x:v>
      </x:c>
      <x:c r="D57" s="108" t="str">
        <x:v>CALC</x:v>
      </x:c>
      <x:c r="E57" s="117" t="str">
        <x:v>Incremento de versões a cada mês de carga diária.</x:v>
      </x:c>
      <x:c r="F57" s="93"/>
      <x:c r="G57" s="93"/>
      <x:c r="H57" s="93"/>
      <x:c r="I57" s="93"/>
      <x:c r="J57" s="93"/>
      <x:c r="K57" s="93"/>
      <x:c r="L57" s="93"/>
    </x:row>
    <x:row r="58">
      <x:c r="A58" s="93"/>
      <x:c r="B58" s="93"/>
      <x:c r="C58" s="93"/>
      <x:c r="D58" s="93"/>
      <x:c r="E58" s="118"/>
      <x:c r="F58" s="93"/>
      <x:c r="G58" s="93"/>
      <x:c r="H58" s="93"/>
      <x:c r="I58" s="93"/>
      <x:c r="J58" s="93"/>
      <x:c r="K58" s="93"/>
      <x:c r="L58" s="93"/>
    </x:row>
    <x:row r="59" ht="22" customHeight="1">
      <x:c r="A59" s="68" t="str">
        <x:v>Batch — tempos e uso operacional</x:v>
      </x:c>
      <x:c r="B59" s="68" t="str">
        <x:v>Batch — tempos e uso operacional</x:v>
      </x:c>
      <x:c r="C59" s="68" t="str">
        <x:v>Batch — tempos e uso operacional</x:v>
      </x:c>
      <x:c r="D59" s="68" t="str">
        <x:v>Batch — tempos e uso operacional</x:v>
      </x:c>
      <x:c r="E59" s="119" t="str">
        <x:v>Batch — tempos e uso operacional</x:v>
      </x:c>
      <x:c r="F59" s="93"/>
      <x:c r="G59" s="93"/>
      <x:c r="H59" s="93"/>
      <x:c r="I59" s="93"/>
      <x:c r="J59" s="93"/>
      <x:c r="K59" s="93"/>
      <x:c r="L59" s="93"/>
    </x:row>
    <x:row r="60">
      <x:c r="A60" s="69" t="str">
        <x:v>Premissa</x:v>
      </x:c>
      <x:c r="B60" s="70" t="str">
        <x:v>Backfill</x:v>
      </x:c>
      <x:c r="C60" s="70" t="str">
        <x:v>Diário</x:v>
      </x:c>
      <x:c r="D60" s="70" t="str">
        <x:v>Unidade</x:v>
      </x:c>
      <x:c r="E60" s="71" t="str">
        <x:v>Observação</x:v>
      </x:c>
      <x:c r="F60" s="93"/>
      <x:c r="G60" s="93"/>
      <x:c r="H60" s="93"/>
      <x:c r="I60" s="93"/>
      <x:c r="J60" s="93"/>
      <x:c r="K60" s="93"/>
      <x:c r="L60" s="93"/>
    </x:row>
    <x:row r="61">
      <x:c r="A61" s="94" t="str">
        <x:v>Glue Staging → Bronze</x:v>
      </x:c>
      <x:c r="B61" s="96" t="n">
        <x:v>15</x:v>
      </x:c>
      <x:c r="C61" s="98" t="n">
        <x:v>3</x:v>
      </x:c>
      <x:c r="D61" s="94" t="str">
        <x:v>minutos</x:v>
      </x:c>
      <x:c r="E61" s="115" t="str">
        <x:v>2 workers G.1X.</x:v>
      </x:c>
      <x:c r="F61" s="93"/>
      <x:c r="G61" s="93"/>
      <x:c r="H61" s="93"/>
      <x:c r="I61" s="93"/>
      <x:c r="J61" s="93"/>
      <x:c r="K61" s="93"/>
      <x:c r="L61" s="93"/>
    </x:row>
    <x:row r="62">
      <x:c r="A62" s="99" t="str">
        <x:v>Glue Bronze → Silver</x:v>
      </x:c>
      <x:c r="B62" s="101" t="n">
        <x:v>20</x:v>
      </x:c>
      <x:c r="C62" s="103" t="n">
        <x:v>5</x:v>
      </x:c>
      <x:c r="D62" s="99" t="str">
        <x:v>minutos</x:v>
      </x:c>
      <x:c r="E62" s="116" t="str">
        <x:v>2 workers G.1X.</x:v>
      </x:c>
      <x:c r="F62" s="93"/>
      <x:c r="G62" s="93"/>
      <x:c r="H62" s="93"/>
      <x:c r="I62" s="93"/>
      <x:c r="J62" s="93"/>
      <x:c r="K62" s="93"/>
      <x:c r="L62" s="93"/>
    </x:row>
    <x:row r="63">
      <x:c r="A63" s="99" t="str">
        <x:v>Glue Silver → Gold</x:v>
      </x:c>
      <x:c r="B63" s="101" t="n">
        <x:v>25</x:v>
      </x:c>
      <x:c r="C63" s="103" t="n">
        <x:v>25</x:v>
      </x:c>
      <x:c r="D63" s="99" t="str">
        <x:v>minutos</x:v>
      </x:c>
      <x:c r="E63" s="116" t="str">
        <x:v>Lê o snapshot completo da Silver e sobrescreve a Gold.</x:v>
      </x:c>
      <x:c r="F63" s="93"/>
      <x:c r="G63" s="93"/>
      <x:c r="H63" s="93"/>
      <x:c r="I63" s="93"/>
      <x:c r="J63" s="93"/>
      <x:c r="K63" s="93"/>
      <x:c r="L63" s="93"/>
    </x:row>
    <x:row r="64">
      <x:c r="A64" s="99" t="str">
        <x:v>Glue Reconciliação</x:v>
      </x:c>
      <x:c r="B64" s="101" t="n">
        <x:v>15</x:v>
      </x:c>
      <x:c r="C64" s="103" t="n">
        <x:v>15</x:v>
      </x:c>
      <x:c r="D64" s="99" t="str">
        <x:v>minutos</x:v>
      </x:c>
      <x:c r="E64" s="116" t="str">
        <x:v>Lê snapshot Silver e Gold para DQ.</x:v>
      </x:c>
      <x:c r="F64" s="93"/>
      <x:c r="G64" s="93"/>
      <x:c r="H64" s="93"/>
      <x:c r="I64" s="93"/>
      <x:c r="J64" s="93"/>
      <x:c r="K64" s="93"/>
      <x:c r="L64" s="93"/>
    </x:row>
    <x:row r="65">
      <x:c r="A65" s="99" t="str">
        <x:v>Glue Crawler</x:v>
      </x:c>
      <x:c r="B65" s="101" t="n">
        <x:v>5</x:v>
      </x:c>
      <x:c r="C65" s="103" t="n">
        <x:v>5</x:v>
      </x:c>
      <x:c r="D65" s="99" t="str">
        <x:v>minutos</x:v>
      </x:c>
      <x:c r="E65" s="116" t="str">
        <x:v>Modelado com 2 DPUs.</x:v>
      </x:c>
      <x:c r="F65" s="93"/>
      <x:c r="G65" s="93"/>
      <x:c r="H65" s="93"/>
      <x:c r="I65" s="93"/>
      <x:c r="J65" s="93"/>
      <x:c r="K65" s="93"/>
      <x:c r="L65" s="93"/>
    </x:row>
    <x:row r="66">
      <x:c r="A66" s="99" t="str">
        <x:v>DPUs/workers por job</x:v>
      </x:c>
      <x:c r="B66" s="101" t="n">
        <x:v>2</x:v>
      </x:c>
      <x:c r="C66" s="103" t="n">
        <x:v>2</x:v>
      </x:c>
      <x:c r="D66" s="99" t="str">
        <x:v>DPU</x:v>
      </x:c>
      <x:c r="E66" s="116" t="str">
        <x:v>G.1X com 2 workers no Terraform.</x:v>
      </x:c>
      <x:c r="F66" s="93"/>
      <x:c r="G66" s="93"/>
      <x:c r="H66" s="93"/>
      <x:c r="I66" s="93"/>
      <x:c r="J66" s="93"/>
      <x:c r="K66" s="93"/>
      <x:c r="L66" s="93"/>
    </x:row>
    <x:row r="67">
      <x:c r="A67" s="99" t="str">
        <x:v>Lambda extratora</x:v>
      </x:c>
      <x:c r="B67" s="101" t="n">
        <x:v>60</x:v>
      </x:c>
      <x:c r="C67" s="103" t="n">
        <x:v>10</x:v>
      </x:c>
      <x:c r="D67" s="99" t="str">
        <x:v>segundos/período</x:v>
      </x:c>
      <x:c r="E67" s="116" t="str">
        <x:v>512 MB ARM; média editável.</x:v>
      </x:c>
      <x:c r="F67" s="93"/>
      <x:c r="G67" s="93"/>
      <x:c r="H67" s="93"/>
      <x:c r="I67" s="93"/>
      <x:c r="J67" s="93"/>
      <x:c r="K67" s="93"/>
      <x:c r="L67" s="93"/>
    </x:row>
    <x:row r="68">
      <x:c r="A68" s="99" t="str">
        <x:v>Athena lido</x:v>
      </x:c>
      <x:c r="B68" s="101" t="n">
        <x:v>25</x:v>
      </x:c>
      <x:c r="C68" s="103" t="n">
        <x:v>5</x:v>
      </x:c>
      <x:c r="D68" s="99" t="str">
        <x:v>GiB</x:v>
      </x:c>
      <x:c r="E68" s="116" t="str">
        <x:v>Backfill total / validação diária.</x:v>
      </x:c>
      <x:c r="F68" s="93"/>
      <x:c r="G68" s="93"/>
      <x:c r="H68" s="93"/>
      <x:c r="I68" s="93"/>
      <x:c r="J68" s="93"/>
      <x:c r="K68" s="93"/>
      <x:c r="L68" s="93"/>
    </x:row>
    <x:row r="69">
      <x:c r="A69" s="99" t="str">
        <x:v>CloudWatch logs ingeridos</x:v>
      </x:c>
      <x:c r="B69" s="101" t="n">
        <x:v>1</x:v>
      </x:c>
      <x:c r="C69" s="103" t="n">
        <x:v>0.05</x:v>
      </x:c>
      <x:c r="D69" s="99" t="str">
        <x:v>GiB</x:v>
      </x:c>
      <x:c r="E69" s="116" t="str">
        <x:v>Estimativa de logs técnicos.</x:v>
      </x:c>
      <x:c r="F69" s="93"/>
      <x:c r="G69" s="93"/>
      <x:c r="H69" s="93"/>
      <x:c r="I69" s="93"/>
      <x:c r="J69" s="93"/>
      <x:c r="K69" s="93"/>
      <x:c r="L69" s="93"/>
    </x:row>
    <x:row r="70">
      <x:c r="A70" s="99" t="str">
        <x:v>Step Functions</x:v>
      </x:c>
      <x:c r="B70" s="101" t="n">
        <x:v>60</x:v>
      </x:c>
      <x:c r="C70" s="103" t="n">
        <x:v>25</x:v>
      </x:c>
      <x:c r="D70" s="99" t="str">
        <x:v>transições</x:v>
      </x:c>
      <x:c r="E70" s="116" t="str">
        <x:v>Inclui polling do crawler.</x:v>
      </x:c>
      <x:c r="F70" s="93"/>
      <x:c r="G70" s="93"/>
      <x:c r="H70" s="93"/>
      <x:c r="I70" s="93"/>
      <x:c r="J70" s="93"/>
      <x:c r="K70" s="93"/>
      <x:c r="L70" s="93"/>
    </x:row>
    <x:row r="71">
      <x:c r="A71" s="99" t="str">
        <x:v>S3 PUT</x:v>
      </x:c>
      <x:c r="B71" s="101" t="n">
        <x:v>2000</x:v>
      </x:c>
      <x:c r="C71" s="103" t="n">
        <x:v>100</x:v>
      </x:c>
      <x:c r="D71" s="99" t="str">
        <x:v>solicitações</x:v>
      </x:c>
      <x:c r="E71" s="116" t="str">
        <x:v>Arquivos e manifests.</x:v>
      </x:c>
      <x:c r="F71" s="93"/>
      <x:c r="G71" s="93"/>
      <x:c r="H71" s="93"/>
      <x:c r="I71" s="93"/>
      <x:c r="J71" s="93"/>
      <x:c r="K71" s="93"/>
      <x:c r="L71" s="93"/>
    </x:row>
    <x:row r="72">
      <x:c r="A72" s="99" t="str">
        <x:v>S3 GET</x:v>
      </x:c>
      <x:c r="B72" s="101" t="n">
        <x:v>1000</x:v>
      </x:c>
      <x:c r="C72" s="103" t="n">
        <x:v>100</x:v>
      </x:c>
      <x:c r="D72" s="99" t="str">
        <x:v>solicitações</x:v>
      </x:c>
      <x:c r="E72" s="116" t="str">
        <x:v>Leituras técnicas.</x:v>
      </x:c>
      <x:c r="F72" s="93"/>
      <x:c r="G72" s="93"/>
      <x:c r="H72" s="93"/>
      <x:c r="I72" s="93"/>
      <x:c r="J72" s="93"/>
      <x:c r="K72" s="93"/>
      <x:c r="L72" s="93"/>
    </x:row>
    <x:row r="73">
      <x:c r="A73" s="99" t="str">
        <x:v>Execuções diárias/mês</x:v>
      </x:c>
      <x:c r="B73" s="101"/>
      <x:c r="C73" s="103" t="n">
        <x:v>30</x:v>
      </x:c>
      <x:c r="D73" s="99" t="str">
        <x:v>execuções</x:v>
      </x:c>
      <x:c r="E73" s="116" t="str">
        <x:v>Mês padrão de 30 dias.</x:v>
      </x:c>
      <x:c r="F73" s="93"/>
      <x:c r="G73" s="93"/>
      <x:c r="H73" s="93"/>
      <x:c r="I73" s="93"/>
      <x:c r="J73" s="93"/>
      <x:c r="K73" s="93"/>
      <x:c r="L73" s="93"/>
    </x:row>
    <x:row r="74">
      <x:c r="A74" s="99" t="str">
        <x:v>Alarmes Batch</x:v>
      </x:c>
      <x:c r="B74" s="101"/>
      <x:c r="C74" s="103" t="n">
        <x:v>3</x:v>
      </x:c>
      <x:c r="D74" s="99" t="str">
        <x:v>alarmes</x:v>
      </x:c>
      <x:c r="E74" s="116" t="str">
        <x:v>Falha, timeout e abortada.</x:v>
      </x:c>
      <x:c r="F74" s="93"/>
      <x:c r="G74" s="93"/>
      <x:c r="H74" s="93"/>
      <x:c r="I74" s="93"/>
      <x:c r="J74" s="93"/>
      <x:c r="K74" s="93"/>
      <x:c r="L74" s="93"/>
    </x:row>
    <x:row r="75">
      <x:c r="A75" s="99" t="str">
        <x:v>Segredos Batch</x:v>
      </x:c>
      <x:c r="B75" s="101"/>
      <x:c r="C75" s="103" t="n">
        <x:v>1</x:v>
      </x:c>
      <x:c r="D75" s="99" t="str">
        <x:v>segredo</x:v>
      </x:c>
      <x:c r="E75" s="116" t="str">
        <x:v>Chave da API externa.</x:v>
      </x:c>
      <x:c r="F75" s="93"/>
      <x:c r="G75" s="93"/>
      <x:c r="H75" s="93"/>
      <x:c r="I75" s="93"/>
      <x:c r="J75" s="93"/>
      <x:c r="K75" s="93"/>
      <x:c r="L75" s="93"/>
    </x:row>
    <x:row r="76">
      <x:c r="A76" s="108" t="str">
        <x:v>Publicações SNS esperadas</x:v>
      </x:c>
      <x:c r="B76" s="113" t="n">
        <x:v>0</x:v>
      </x:c>
      <x:c r="C76" s="114" t="n">
        <x:v>0</x:v>
      </x:c>
      <x:c r="D76" s="108" t="str">
        <x:v>alertas</x:v>
      </x:c>
      <x:c r="E76" s="117" t="str">
        <x:v>Sem falhas no cenário-base.</x:v>
      </x:c>
      <x:c r="F76" s="93"/>
      <x:c r="G76" s="93"/>
      <x:c r="H76" s="93"/>
      <x:c r="I76" s="93"/>
      <x:c r="J76" s="93"/>
      <x:c r="K76" s="93"/>
      <x:c r="L76" s="93"/>
    </x:row>
  </x:sheetData>
  <x:mergeCells>
    <x:mergeCell ref="A1:L1"/>
    <x:mergeCell ref="A2:L2"/>
    <x:mergeCell ref="A4:E4"/>
    <x:mergeCell ref="A36:E36"/>
    <x:mergeCell ref="A59:E59"/>
    <x:mergeCell ref="H4:L4"/>
  </x:mergeCells>
  <x:pageMargins left="0.7" right="0.7" top="0.75" bottom="0.75" header="0.3" footer="0.3"/>
  <x:legacyDrawing xmlns:r="http://schemas.openxmlformats.org/officeDocument/2006/relationships" r:id="R364e3af1c0e14d19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9" hidden="0" customWidth="1"/>
    <x:col min="3" max="3" width="15" hidden="0" customWidth="1"/>
    <x:col min="4" max="4" width="18" hidden="0" customWidth="1"/>
    <x:col min="5" max="5" width="15" hidden="0" customWidth="1"/>
    <x:col min="6" max="6" width="15" hidden="0" customWidth="1"/>
    <x:col min="7" max="7" width="15" hidden="0" customWidth="1"/>
    <x:col min="8" max="8" width="16" hidden="0" customWidth="1"/>
    <x:col min="9" max="9" width="12" hidden="0" customWidth="1"/>
  </x:cols>
  <x:sheetData>
    <x:row r="1" ht="34" customHeight="1">
      <x:c r="A1" s="4" t="str">
        <x:v>Batch — custo do backfill histórico</x:v>
      </x:c>
      <x:c r="B1" s="4" t="str">
        <x:v>Batch — custo do backfill histórico</x:v>
      </x:c>
      <x:c r="C1" s="4" t="str">
        <x:v>Batch — custo do backfill histórico</x:v>
      </x:c>
      <x:c r="D1" s="4" t="str">
        <x:v>Batch — custo do backfill histórico</x:v>
      </x:c>
      <x:c r="E1" s="4" t="str">
        <x:v>Batch — custo do backfill histórico</x:v>
      </x:c>
      <x:c r="F1" s="4" t="str">
        <x:v>Batch — custo do backfill histórico</x:v>
      </x:c>
      <x:c r="G1" s="4" t="str">
        <x:v>Batch — custo do backfill histórico</x:v>
      </x:c>
      <x:c r="H1" s="4" t="str">
        <x:v>Batch — custo do backfill histórico</x:v>
      </x:c>
      <x:c r="I1" s="4" t="str">
        <x:v>Batch — custo do backfill histórico</x:v>
      </x:c>
    </x:row>
    <x:row r="2" ht="30" customHeight="1">
      <x:c r="A2" s="8" t="str">
        <x:v>Carga única de 8.287.799 registros, 26 períodos mensais, mais a base mensal dos recursos persistentes.</x:v>
      </x:c>
      <x:c r="B2" s="8" t="str">
        <x:v>Carga única de 8.287.799 registros, 26 períodos mensais, mais a base mensal dos recursos persistentes.</x:v>
      </x:c>
      <x:c r="C2" s="8" t="str">
        <x:v>Carga única de 8.287.799 registros, 26 períodos mensais, mais a base mensal dos recursos persistentes.</x:v>
      </x:c>
      <x:c r="D2" s="8" t="str">
        <x:v>Carga única de 8.287.799 registros, 26 períodos mensais, mais a base mensal dos recursos persistentes.</x:v>
      </x:c>
      <x:c r="E2" s="8" t="str">
        <x:v>Carga única de 8.287.799 registros, 26 períodos mensais, mais a base mensal dos recursos persistentes.</x:v>
      </x:c>
      <x:c r="F2" s="8" t="str">
        <x:v>Carga única de 8.287.799 registros, 26 períodos mensais, mais a base mensal dos recursos persistentes.</x:v>
      </x:c>
      <x:c r="G2" s="8" t="str">
        <x:v>Carga única de 8.287.799 registros, 26 períodos mensais, mais a base mensal dos recursos persistentes.</x:v>
      </x:c>
      <x:c r="H2" s="8" t="str">
        <x:v>Carga única de 8.287.799 registros, 26 períodos mensais, mais a base mensal dos recursos persistentes.</x:v>
      </x:c>
      <x:c r="I2" s="8" t="str">
        <x:v>Carga única de 8.287.799 registros, 26 períodos mensais, mais a base mensal dos recursos persistentes.</x:v>
      </x:c>
    </x:row>
    <x:row r="3">
      <x:c r="A3" s="337"/>
      <x:c r="B3" s="337"/>
      <x:c r="C3" s="337"/>
      <x:c r="D3" s="337"/>
      <x:c r="E3" s="337"/>
      <x:c r="F3" s="337"/>
      <x:c r="G3" s="337"/>
      <x:c r="H3" s="337"/>
      <x:c r="I3" s="337"/>
    </x:row>
    <x:row r="4">
      <x:c r="A4" s="19" t="str">
        <x:v>Serviço</x:v>
      </x:c>
      <x:c r="B4" s="20" t="str">
        <x:v>Componente</x:v>
      </x:c>
      <x:c r="C4" s="20" t="str">
        <x:v>Quantidade</x:v>
      </x:c>
      <x:c r="D4" s="20" t="str">
        <x:v>Unidade</x:v>
      </x:c>
      <x:c r="E4" s="20" t="str">
        <x:v>Preço unitário</x:v>
      </x:c>
      <x:c r="F4" s="20" t="str">
        <x:v>Custo USD</x:v>
      </x:c>
      <x:c r="G4" s="20" t="str">
        <x:v>Custo BRL</x:v>
      </x:c>
      <x:c r="H4" s="20" t="str">
        <x:v>Fonte</x:v>
      </x:c>
      <x:c r="I4" s="21" t="str">
        <x:v>Tipo</x:v>
      </x:c>
    </x:row>
    <x:row r="5">
      <x:c r="A5" s="338" t="str">
        <x:v>AWS Lambda</x:v>
      </x:c>
      <x:c r="B5" s="338" t="str">
        <x:v>Computação da extração</x:v>
      </x:c>
      <x:c r="C5" s="339" t="n">
        <x:f>'Premissas'!B41*'Premissas'!B67*0.5</x:f>
        <x:v>780</x:v>
      </x:c>
      <x:c r="D5" s="339" t="str">
        <x:v>GB-s</x:v>
      </x:c>
      <x:c r="E5" s="340" t="n">
        <x:f>'Premissas'!B12</x:f>
        <x:v>0.0000133334</x:v>
      </x:c>
      <x:c r="F5" s="340" t="n">
        <x:f>C5*E5</x:f>
        <x:v>0.010400052</x:v>
      </x:c>
      <x:c r="G5" s="340" t="n">
        <x:f>F5*'Premissas'!$B$6</x:f>
        <x:v>0.057200286</x:v>
      </x:c>
      <x:c r="H5" s="417" t="str">
        <x:v>AWS-LAMBDA</x:v>
      </x:c>
      <x:c r="I5" s="417" t="str">
        <x:v>Execução</x:v>
      </x:c>
    </x:row>
    <x:row r="6">
      <x:c r="A6" s="341" t="str">
        <x:v>AWS Lambda</x:v>
      </x:c>
      <x:c r="B6" s="341" t="str">
        <x:v>Invocações da extração</x:v>
      </x:c>
      <x:c r="C6" s="342" t="n">
        <x:f>'Premissas'!B41</x:f>
        <x:v>26</x:v>
      </x:c>
      <x:c r="D6" s="342" t="str">
        <x:v>solicitações</x:v>
      </x:c>
      <x:c r="E6" s="343" t="n">
        <x:f>'Premissas'!B13/1000000</x:f>
        <x:v>2.0000000000000002e-7</x:v>
      </x:c>
      <x:c r="F6" s="343" t="n">
        <x:f>C6*E6</x:f>
        <x:v>0.0000052</x:v>
      </x:c>
      <x:c r="G6" s="343" t="n">
        <x:f>F6*'Premissas'!$B$6</x:f>
        <x:v>0.0000286</x:v>
      </x:c>
      <x:c r="H6" s="418" t="str">
        <x:v>AWS-LAMBDA</x:v>
      </x:c>
      <x:c r="I6" s="418" t="str">
        <x:v>Execução</x:v>
      </x:c>
    </x:row>
    <x:row r="7">
      <x:c r="A7" s="341" t="str">
        <x:v>Secrets Manager</x:v>
      </x:c>
      <x:c r="B7" s="341" t="str">
        <x:v>Leitura da chave da API</x:v>
      </x:c>
      <x:c r="C7" s="342" t="n">
        <x:f>'Premissas'!B41</x:f>
        <x:v>26</x:v>
      </x:c>
      <x:c r="D7" s="342" t="str">
        <x:v>chamadas</x:v>
      </x:c>
      <x:c r="E7" s="343" t="n">
        <x:f>'Premissas'!B16/10000</x:f>
        <x:v>0.000005</x:v>
      </x:c>
      <x:c r="F7" s="343" t="n">
        <x:f>C7*E7</x:f>
        <x:v>0.00013000000000000002</x:v>
      </x:c>
      <x:c r="G7" s="343" t="n">
        <x:f>F7*'Premissas'!$B$6</x:f>
        <x:v>0.0007150000000000001</x:v>
      </x:c>
      <x:c r="H7" s="418" t="str">
        <x:v>AWS-SECRETS</x:v>
      </x:c>
      <x:c r="I7" s="418" t="str">
        <x:v>Execução</x:v>
      </x:c>
    </x:row>
    <x:row r="8">
      <x:c r="A8" s="341" t="str">
        <x:v>AWS Glue</x:v>
      </x:c>
      <x:c r="B8" s="341" t="str">
        <x:v>Staging → Bronze</x:v>
      </x:c>
      <x:c r="C8" s="342" t="n">
        <x:f>'Premissas'!B66*'Premissas'!B61/60</x:f>
        <x:v>0.5</x:v>
      </x:c>
      <x:c r="D8" s="342" t="str">
        <x:v>DPU-h</x:v>
      </x:c>
      <x:c r="E8" s="343" t="n">
        <x:f>'Premissas'!B10</x:f>
        <x:v>0.44</x:v>
      </x:c>
      <x:c r="F8" s="343" t="n">
        <x:f>C8*E8</x:f>
        <x:v>0.22</x:v>
      </x:c>
      <x:c r="G8" s="343" t="n">
        <x:f>F8*'Premissas'!$B$6</x:f>
        <x:v>1.21</x:v>
      </x:c>
      <x:c r="H8" s="418" t="str">
        <x:v>AWS-GLUE</x:v>
      </x:c>
      <x:c r="I8" s="418" t="str">
        <x:v>Execução</x:v>
      </x:c>
    </x:row>
    <x:row r="9">
      <x:c r="A9" s="341" t="str">
        <x:v>AWS Glue</x:v>
      </x:c>
      <x:c r="B9" s="341" t="str">
        <x:v>Bronze → Silver</x:v>
      </x:c>
      <x:c r="C9" s="342" t="n">
        <x:f>'Premissas'!B66*'Premissas'!B62/60</x:f>
        <x:v>0.6666666666666666</x:v>
      </x:c>
      <x:c r="D9" s="342" t="str">
        <x:v>DPU-h</x:v>
      </x:c>
      <x:c r="E9" s="343" t="n">
        <x:f>'Premissas'!B10</x:f>
        <x:v>0.44</x:v>
      </x:c>
      <x:c r="F9" s="343" t="n">
        <x:f>C9*E9</x:f>
        <x:v>0.29333333333333333</x:v>
      </x:c>
      <x:c r="G9" s="343" t="n">
        <x:f>F9*'Premissas'!$B$6</x:f>
        <x:v>1.6133333333333333</x:v>
      </x:c>
      <x:c r="H9" s="418" t="str">
        <x:v>AWS-GLUE</x:v>
      </x:c>
      <x:c r="I9" s="418" t="str">
        <x:v>Execução</x:v>
      </x:c>
    </x:row>
    <x:row r="10">
      <x:c r="A10" s="341" t="str">
        <x:v>AWS Glue</x:v>
      </x:c>
      <x:c r="B10" s="341" t="str">
        <x:v>Silver → Gold</x:v>
      </x:c>
      <x:c r="C10" s="342" t="n">
        <x:f>'Premissas'!B66*'Premissas'!B63/60</x:f>
        <x:v>0.8333333333333334</x:v>
      </x:c>
      <x:c r="D10" s="342" t="str">
        <x:v>DPU-h</x:v>
      </x:c>
      <x:c r="E10" s="343" t="n">
        <x:f>'Premissas'!B10</x:f>
        <x:v>0.44</x:v>
      </x:c>
      <x:c r="F10" s="343" t="n">
        <x:f>C10*E10</x:f>
        <x:v>0.3666666666666667</x:v>
      </x:c>
      <x:c r="G10" s="343" t="n">
        <x:f>F10*'Premissas'!$B$6</x:f>
        <x:v>2.0166666666666666</x:v>
      </x:c>
      <x:c r="H10" s="418" t="str">
        <x:v>AWS-GLUE</x:v>
      </x:c>
      <x:c r="I10" s="418" t="str">
        <x:v>Execução</x:v>
      </x:c>
    </x:row>
    <x:row r="11">
      <x:c r="A11" s="341" t="str">
        <x:v>AWS Glue</x:v>
      </x:c>
      <x:c r="B11" s="341" t="str">
        <x:v>Reconciliação</x:v>
      </x:c>
      <x:c r="C11" s="342" t="n">
        <x:f>'Premissas'!B66*'Premissas'!B64/60</x:f>
        <x:v>0.5</x:v>
      </x:c>
      <x:c r="D11" s="342" t="str">
        <x:v>DPU-h</x:v>
      </x:c>
      <x:c r="E11" s="343" t="n">
        <x:f>'Premissas'!B10</x:f>
        <x:v>0.44</x:v>
      </x:c>
      <x:c r="F11" s="343" t="n">
        <x:f>C11*E11</x:f>
        <x:v>0.22</x:v>
      </x:c>
      <x:c r="G11" s="343" t="n">
        <x:f>F11*'Premissas'!$B$6</x:f>
        <x:v>1.21</x:v>
      </x:c>
      <x:c r="H11" s="418" t="str">
        <x:v>AWS-GLUE</x:v>
      </x:c>
      <x:c r="I11" s="418" t="str">
        <x:v>Execução</x:v>
      </x:c>
    </x:row>
    <x:row r="12">
      <x:c r="A12" s="341" t="str">
        <x:v>AWS Glue</x:v>
      </x:c>
      <x:c r="B12" s="341" t="str">
        <x:v>Crawler Gold</x:v>
      </x:c>
      <x:c r="C12" s="342" t="n">
        <x:f>'Premissas'!B66*'Premissas'!B65/60</x:f>
        <x:v>0.16666666666666666</x:v>
      </x:c>
      <x:c r="D12" s="342" t="str">
        <x:v>DPU-h</x:v>
      </x:c>
      <x:c r="E12" s="343" t="n">
        <x:f>'Premissas'!B10</x:f>
        <x:v>0.44</x:v>
      </x:c>
      <x:c r="F12" s="343" t="n">
        <x:f>C12*E12</x:f>
        <x:v>0.07333333333333333</x:v>
      </x:c>
      <x:c r="G12" s="343" t="n">
        <x:f>F12*'Premissas'!$B$6</x:f>
        <x:v>0.4033333333333333</x:v>
      </x:c>
      <x:c r="H12" s="418" t="str">
        <x:v>AWS-GLUE</x:v>
      </x:c>
      <x:c r="I12" s="418" t="str">
        <x:v>Execução</x:v>
      </x:c>
    </x:row>
    <x:row r="13">
      <x:c r="A13" s="341" t="str">
        <x:v>Step Functions</x:v>
      </x:c>
      <x:c r="B13" s="341" t="str">
        <x:v>Orquestração Standard</x:v>
      </x:c>
      <x:c r="C13" s="342" t="n">
        <x:f>'Premissas'!B70</x:f>
        <x:v>60</x:v>
      </x:c>
      <x:c r="D13" s="342" t="str">
        <x:v>transições</x:v>
      </x:c>
      <x:c r="E13" s="343" t="n">
        <x:f>'Premissas'!B14</x:f>
        <x:v>0.000025</x:v>
      </x:c>
      <x:c r="F13" s="343" t="n">
        <x:f>C13*E13</x:f>
        <x:v>0.0015</x:v>
      </x:c>
      <x:c r="G13" s="343" t="n">
        <x:f>F13*'Premissas'!$B$6</x:f>
        <x:v>0.00825</x:v>
      </x:c>
      <x:c r="H13" s="418" t="str">
        <x:v>AWS-SFN</x:v>
      </x:c>
      <x:c r="I13" s="418" t="str">
        <x:v>Execução</x:v>
      </x:c>
    </x:row>
    <x:row r="14">
      <x:c r="A14" s="341" t="str">
        <x:v>Amazon Athena</x:v>
      </x:c>
      <x:c r="B14" s="341" t="str">
        <x:v>Validação e consultas</x:v>
      </x:c>
      <x:c r="C14" s="342" t="n">
        <x:f>'Premissas'!B68/1024</x:f>
        <x:v>0.0244140625</x:v>
      </x:c>
      <x:c r="D14" s="342" t="str">
        <x:v>TB lido</x:v>
      </x:c>
      <x:c r="E14" s="343" t="n">
        <x:f>'Premissas'!B11</x:f>
        <x:v>5</x:v>
      </x:c>
      <x:c r="F14" s="343" t="n">
        <x:f>C14*E14</x:f>
        <x:v>0.1220703125</x:v>
      </x:c>
      <x:c r="G14" s="343" t="n">
        <x:f>F14*'Premissas'!$B$6</x:f>
        <x:v>0.67138671875</x:v>
      </x:c>
      <x:c r="H14" s="418" t="str">
        <x:v>AWS-ATHENA</x:v>
      </x:c>
      <x:c r="I14" s="418" t="str">
        <x:v>Execução</x:v>
      </x:c>
    </x:row>
    <x:row r="15">
      <x:c r="A15" s="341" t="str">
        <x:v>Amazon S3</x:v>
      </x:c>
      <x:c r="B15" s="341" t="str">
        <x:v>Solicitações PUT</x:v>
      </x:c>
      <x:c r="C15" s="342" t="n">
        <x:f>'Premissas'!B71/1000</x:f>
        <x:v>2</x:v>
      </x:c>
      <x:c r="D15" s="342" t="str">
        <x:v>mil solicitações</x:v>
      </x:c>
      <x:c r="E15" s="343" t="n">
        <x:f>'Premissas'!B8</x:f>
        <x:v>0.005</x:v>
      </x:c>
      <x:c r="F15" s="343" t="n">
        <x:f>C15*E15</x:f>
        <x:v>0.01</x:v>
      </x:c>
      <x:c r="G15" s="343" t="n">
        <x:f>F15*'Premissas'!$B$6</x:f>
        <x:v>0.055</x:v>
      </x:c>
      <x:c r="H15" s="418" t="str">
        <x:v>AWS-S3</x:v>
      </x:c>
      <x:c r="I15" s="418" t="str">
        <x:v>Execução</x:v>
      </x:c>
    </x:row>
    <x:row r="16">
      <x:c r="A16" s="341" t="str">
        <x:v>Amazon S3</x:v>
      </x:c>
      <x:c r="B16" s="341" t="str">
        <x:v>Solicitações GET</x:v>
      </x:c>
      <x:c r="C16" s="342" t="n">
        <x:f>'Premissas'!B72/1000</x:f>
        <x:v>1</x:v>
      </x:c>
      <x:c r="D16" s="342" t="str">
        <x:v>mil solicitações</x:v>
      </x:c>
      <x:c r="E16" s="343" t="n">
        <x:f>'Premissas'!B9</x:f>
        <x:v>0.0004</x:v>
      </x:c>
      <x:c r="F16" s="343" t="n">
        <x:f>C16*E16</x:f>
        <x:v>0.0004</x:v>
      </x:c>
      <x:c r="G16" s="343" t="n">
        <x:f>F16*'Premissas'!$B$6</x:f>
        <x:v>0.0022</x:v>
      </x:c>
      <x:c r="H16" s="418" t="str">
        <x:v>AWS-S3</x:v>
      </x:c>
      <x:c r="I16" s="418" t="str">
        <x:v>Execução</x:v>
      </x:c>
    </x:row>
    <x:row r="17">
      <x:c r="A17" s="341" t="str">
        <x:v>CloudWatch</x:v>
      </x:c>
      <x:c r="B17" s="341" t="str">
        <x:v>Ingestão de logs</x:v>
      </x:c>
      <x:c r="C17" s="342" t="n">
        <x:f>'Premissas'!B69</x:f>
        <x:v>1</x:v>
      </x:c>
      <x:c r="D17" s="342" t="str">
        <x:v>GiB</x:v>
      </x:c>
      <x:c r="E17" s="343" t="n">
        <x:f>'Premissas'!B17</x:f>
        <x:v>0.5</x:v>
      </x:c>
      <x:c r="F17" s="343" t="n">
        <x:f>C17*E17</x:f>
        <x:v>0.5</x:v>
      </x:c>
      <x:c r="G17" s="343" t="n">
        <x:f>F17*'Premissas'!$B$6</x:f>
        <x:v>2.75</x:v>
      </x:c>
      <x:c r="H17" s="418" t="str">
        <x:v>AWS-CW</x:v>
      </x:c>
      <x:c r="I17" s="418" t="str">
        <x:v>Execução</x:v>
      </x:c>
    </x:row>
    <x:row r="18">
      <x:c r="A18" s="341" t="str">
        <x:v>Amazon S3</x:v>
      </x:c>
      <x:c r="B18" s="341" t="str">
        <x:v>Armazenamento vivo</x:v>
      </x:c>
      <x:c r="C18" s="342" t="n">
        <x:f>'Premissas'!B53</x:f>
        <x:v>10.628805168242067</x:v>
      </x:c>
      <x:c r="D18" s="342" t="str">
        <x:v>GiB-mês</x:v>
      </x:c>
      <x:c r="E18" s="343" t="n">
        <x:f>'Premissas'!B7</x:f>
        <x:v>0.023</x:v>
      </x:c>
      <x:c r="F18" s="343" t="n">
        <x:f>C18*E18</x:f>
        <x:v>0.24446251886956755</x:v>
      </x:c>
      <x:c r="G18" s="343" t="n">
        <x:f>F18*'Premissas'!$B$6</x:f>
        <x:v>1.3445438537826215</x:v>
      </x:c>
      <x:c r="H18" s="418" t="str">
        <x:v>AWS-S3</x:v>
      </x:c>
      <x:c r="I18" s="418" t="str">
        <x:v>Mensal</x:v>
      </x:c>
    </x:row>
    <x:row r="19">
      <x:c r="A19" s="341" t="str">
        <x:v>CloudWatch</x:v>
      </x:c>
      <x:c r="B19" s="341" t="str">
        <x:v>Retenção de logs</x:v>
      </x:c>
      <x:c r="C19" s="342" t="n">
        <x:f>'Premissas'!B69</x:f>
        <x:v>1</x:v>
      </x:c>
      <x:c r="D19" s="342" t="str">
        <x:v>GiB-mês</x:v>
      </x:c>
      <x:c r="E19" s="343" t="n">
        <x:f>'Premissas'!B18</x:f>
        <x:v>0.03</x:v>
      </x:c>
      <x:c r="F19" s="343" t="n">
        <x:f>C19*E19</x:f>
        <x:v>0.03</x:v>
      </x:c>
      <x:c r="G19" s="343" t="n">
        <x:f>F19*'Premissas'!$B$6</x:f>
        <x:v>0.16499999999999998</x:v>
      </x:c>
      <x:c r="H19" s="418" t="str">
        <x:v>AWS-CW</x:v>
      </x:c>
      <x:c r="I19" s="418" t="str">
        <x:v>Mensal</x:v>
      </x:c>
    </x:row>
    <x:row r="20">
      <x:c r="A20" s="341" t="str">
        <x:v>Secrets Manager</x:v>
      </x:c>
      <x:c r="B20" s="341" t="str">
        <x:v>Segredo armazenado</x:v>
      </x:c>
      <x:c r="C20" s="342" t="n">
        <x:v>1</x:v>
      </x:c>
      <x:c r="D20" s="342" t="str">
        <x:v>segredo-mês</x:v>
      </x:c>
      <x:c r="E20" s="343" t="n">
        <x:f>'Premissas'!B15</x:f>
        <x:v>0.4</x:v>
      </x:c>
      <x:c r="F20" s="343" t="n">
        <x:f>C20*E20</x:f>
        <x:v>0.4</x:v>
      </x:c>
      <x:c r="G20" s="343" t="n">
        <x:f>F20*'Premissas'!$B$6</x:f>
        <x:v>2.2</x:v>
      </x:c>
      <x:c r="H20" s="418" t="str">
        <x:v>AWS-SECRETS</x:v>
      </x:c>
      <x:c r="I20" s="418" t="str">
        <x:v>Mensal</x:v>
      </x:c>
    </x:row>
    <x:row r="21">
      <x:c r="A21" s="341" t="str">
        <x:v>CloudWatch</x:v>
      </x:c>
      <x:c r="B21" s="341" t="str">
        <x:v>Alarmes Batch</x:v>
      </x:c>
      <x:c r="C21" s="342" t="n">
        <x:v>3</x:v>
      </x:c>
      <x:c r="D21" s="342" t="str">
        <x:v>alarme-mês</x:v>
      </x:c>
      <x:c r="E21" s="343" t="n">
        <x:f>'Premissas'!B19</x:f>
        <x:v>0.1</x:v>
      </x:c>
      <x:c r="F21" s="343" t="n">
        <x:f>C21*E21</x:f>
        <x:v>0.30000000000000004</x:v>
      </x:c>
      <x:c r="G21" s="343" t="n">
        <x:f>F21*'Premissas'!$B$6</x:f>
        <x:v>1.6500000000000004</x:v>
      </x:c>
      <x:c r="H21" s="418" t="str">
        <x:v>AWS-CW</x:v>
      </x:c>
      <x:c r="I21" s="418" t="str">
        <x:v>Mensal</x:v>
      </x:c>
    </x:row>
    <x:row r="22">
      <x:c r="A22" s="341" t="str">
        <x:v>Amazon SNS</x:v>
      </x:c>
      <x:c r="B22" s="341" t="str">
        <x:v>Alertas esperados</x:v>
      </x:c>
      <x:c r="C22" s="342" t="n">
        <x:v>0</x:v>
      </x:c>
      <x:c r="D22" s="342" t="str">
        <x:v>milhão req.</x:v>
      </x:c>
      <x:c r="E22" s="343" t="n">
        <x:f>'Premissas'!B29</x:f>
        <x:v>0.5</x:v>
      </x:c>
      <x:c r="F22" s="343" t="n">
        <x:f>C22*E22</x:f>
        <x:v>0</x:v>
      </x:c>
      <x:c r="G22" s="343" t="n">
        <x:f>F22*'Premissas'!$B$6</x:f>
        <x:v>0</x:v>
      </x:c>
      <x:c r="H22" s="418" t="str">
        <x:v>AWS-SNS</x:v>
      </x:c>
      <x:c r="I22" s="418" t="str">
        <x:v>Mensal</x:v>
      </x:c>
    </x:row>
    <x:row r="23">
      <x:c r="A23" s="341" t="str">
        <x:v>Glue Data Catalog</x:v>
      </x:c>
      <x:c r="B23" s="341" t="str">
        <x:v>Metadados abaixo do free tier</x:v>
      </x:c>
      <x:c r="C23" s="342" t="n">
        <x:v>0</x:v>
      </x:c>
      <x:c r="D23" s="342" t="str">
        <x:v>USD</x:v>
      </x:c>
      <x:c r="E23" s="343" t="n">
        <x:v>0</x:v>
      </x:c>
      <x:c r="F23" s="343" t="n">
        <x:v>0</x:v>
      </x:c>
      <x:c r="G23" s="343" t="n">
        <x:f>F23*'Premissas'!$B$6</x:f>
        <x:v>0</x:v>
      </x:c>
      <x:c r="H23" s="418" t="str">
        <x:v>AWS-GLUE</x:v>
      </x:c>
      <x:c r="I23" s="418" t="str">
        <x:v>Mensal</x:v>
      </x:c>
    </x:row>
    <x:row r="24">
      <x:c r="A24" s="341" t="str">
        <x:v>AWS IAM</x:v>
      </x:c>
      <x:c r="B24" s="341" t="str">
        <x:v>Perfis e políticas</x:v>
      </x:c>
      <x:c r="C24" s="342" t="n">
        <x:v>0</x:v>
      </x:c>
      <x:c r="D24" s="342" t="str">
        <x:v>USD</x:v>
      </x:c>
      <x:c r="E24" s="343" t="n">
        <x:v>0</x:v>
      </x:c>
      <x:c r="F24" s="343" t="n">
        <x:v>0</x:v>
      </x:c>
      <x:c r="G24" s="343" t="n">
        <x:f>F24*'Premissas'!$B$6</x:f>
        <x:v>0</x:v>
      </x:c>
      <x:c r="H24" s="418" t="str">
        <x:v>AWS-IAM</x:v>
      </x:c>
      <x:c r="I24" s="418" t="str">
        <x:v>Mensal</x:v>
      </x:c>
    </x:row>
    <x:row r="25">
      <x:c r="A25" s="344" t="str">
        <x:v>Terraform OSS</x:v>
      </x:c>
      <x:c r="B25" s="344" t="str">
        <x:v>Infraestrutura como código</x:v>
      </x:c>
      <x:c r="C25" s="345" t="n">
        <x:v>0</x:v>
      </x:c>
      <x:c r="D25" s="345" t="str">
        <x:v>USD</x:v>
      </x:c>
      <x:c r="E25" s="346" t="n">
        <x:v>0</x:v>
      </x:c>
      <x:c r="F25" s="346" t="n">
        <x:v>0</x:v>
      </x:c>
      <x:c r="G25" s="346" t="n">
        <x:f>F25*'Premissas'!$B$6</x:f>
        <x:v>0</x:v>
      </x:c>
      <x:c r="H25" s="419" t="str">
        <x:v>TF</x:v>
      </x:c>
      <x:c r="I25" s="419" t="str">
        <x:v>Mensal</x:v>
      </x:c>
    </x:row>
    <x:row r="26">
      <x:c r="A26" s="337"/>
      <x:c r="B26" s="337"/>
      <x:c r="C26" s="347"/>
      <x:c r="D26" s="347"/>
      <x:c r="E26" s="347"/>
      <x:c r="F26" s="347"/>
      <x:c r="G26" s="347"/>
      <x:c r="H26" s="337"/>
      <x:c r="I26" s="337"/>
    </x:row>
    <x:row r="27">
      <x:c r="A27" s="348" t="str">
        <x:v>Custo incremental da execução do backfill</x:v>
      </x:c>
      <x:c r="B27" s="349"/>
      <x:c r="C27" s="350"/>
      <x:c r="D27" s="350"/>
      <x:c r="E27" s="350"/>
      <x:c r="F27" s="350" t="n">
        <x:f>SUM(F5:F17)</x:f>
        <x:v>1.8178388978333333</x:v>
      </x:c>
      <x:c r="G27" s="351" t="n">
        <x:f>F27*'Premissas'!B6</x:f>
        <x:v>9.998113938083334</x:v>
      </x:c>
      <x:c r="H27" s="337"/>
      <x:c r="I27" s="337"/>
    </x:row>
    <x:row r="28">
      <x:c r="A28" s="352" t="str">
        <x:v>Base mensal persistente</x:v>
      </x:c>
      <x:c r="B28" s="353"/>
      <x:c r="C28" s="354"/>
      <x:c r="D28" s="354"/>
      <x:c r="E28" s="354"/>
      <x:c r="F28" s="354" t="n">
        <x:f>SUM(F18:F25)</x:f>
        <x:v>0.9744625188695676</x:v>
      </x:c>
      <x:c r="G28" s="355" t="n">
        <x:f>F28*'Premissas'!B6</x:f>
        <x:v>5.359543853782622</x:v>
      </x:c>
      <x:c r="H28" s="337"/>
      <x:c r="I28" s="337"/>
    </x:row>
    <x:row r="29">
      <x:c r="A29" s="356" t="str">
        <x:v>Total do primeiro mês (backfill + base)</x:v>
      </x:c>
      <x:c r="B29" s="357"/>
      <x:c r="C29" s="358"/>
      <x:c r="D29" s="358"/>
      <x:c r="E29" s="358"/>
      <x:c r="F29" s="359" t="n">
        <x:f>F27+F28</x:f>
        <x:v>2.7923014167029008</x:v>
      </x:c>
      <x:c r="G29" s="360" t="n">
        <x:f>G27+G28</x:f>
        <x:v>15.357657791865956</x:v>
      </x:c>
      <x:c r="H29" s="337"/>
      <x:c r="I29" s="337"/>
    </x:row>
  </x:sheetData>
  <x:mergeCells>
    <x:mergeCell ref="A1:I1"/>
    <x:mergeCell ref="A2:I2"/>
    <x:mergeCell ref="A27:E27"/>
    <x:mergeCell ref="A28:E28"/>
    <x:mergeCell ref="A29:E29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3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44" hidden="0" customWidth="1"/>
  </x:cols>
  <x:sheetData>
    <x:row r="1" ht="34" customHeight="1">
      <x:c r="A1" s="4" t="str">
        <x:v>Batch — custo médio da carga diária</x:v>
      </x:c>
      <x:c r="B1" s="4" t="str">
        <x:v>Batch — custo médio da carga diária</x:v>
      </x:c>
      <x:c r="C1" s="4" t="str">
        <x:v>Batch — custo médio da carga diária</x:v>
      </x:c>
      <x:c r="D1" s="4" t="str">
        <x:v>Batch — custo médio da carga diária</x:v>
      </x:c>
      <x:c r="E1" s="4" t="str">
        <x:v>Batch — custo médio da carga diária</x:v>
      </x:c>
      <x:c r="F1" s="4" t="str">
        <x:v>Batch — custo médio da carga diária</x:v>
      </x:c>
      <x:c r="G1" s="4" t="str">
        <x:v>Batch — custo médio da carga diária</x:v>
      </x:c>
      <x:c r="H1" s="4" t="str">
        <x:v>Batch — custo médio da carga diária</x:v>
      </x:c>
    </x:row>
    <x:row r="2" ht="30" customHeight="1">
      <x:c r="A2" s="8" t="str">
        <x:v>A média diária é derivada do histórico. A Gold e a reconciliação leem o snapshot completo, portanto dominam o custo recorrente.</x:v>
      </x:c>
      <x:c r="B2" s="8" t="str">
        <x:v>A média diária é derivada do histórico. A Gold e a reconciliação leem o snapshot completo, portanto dominam o custo recorrente.</x:v>
      </x:c>
      <x:c r="C2" s="8" t="str">
        <x:v>A média diária é derivada do histórico. A Gold e a reconciliação leem o snapshot completo, portanto dominam o custo recorrente.</x:v>
      </x:c>
      <x:c r="D2" s="8" t="str">
        <x:v>A média diária é derivada do histórico. A Gold e a reconciliação leem o snapshot completo, portanto dominam o custo recorrente.</x:v>
      </x:c>
      <x:c r="E2" s="8" t="str">
        <x:v>A média diária é derivada do histórico. A Gold e a reconciliação leem o snapshot completo, portanto dominam o custo recorrente.</x:v>
      </x:c>
      <x:c r="F2" s="8" t="str">
        <x:v>A média diária é derivada do histórico. A Gold e a reconciliação leem o snapshot completo, portanto dominam o custo recorrente.</x:v>
      </x:c>
      <x:c r="G2" s="8" t="str">
        <x:v>A média diária é derivada do histórico. A Gold e a reconciliação leem o snapshot completo, portanto dominam o custo recorrente.</x:v>
      </x:c>
      <x:c r="H2" s="8" t="str">
        <x:v>A média diária é derivada do histórico. A Gold e a reconciliação leem o snapshot completo, portanto dominam o custo recorrente.</x:v>
      </x:c>
    </x:row>
    <x:row r="3">
      <x:c r="A3" s="337"/>
      <x:c r="B3" s="337"/>
      <x:c r="C3" s="337"/>
      <x:c r="D3" s="337"/>
      <x:c r="E3" s="337"/>
      <x:c r="F3" s="337"/>
      <x:c r="G3" s="337"/>
      <x:c r="H3" s="337"/>
    </x:row>
    <x:row r="4">
      <x:c r="A4" s="19" t="str">
        <x:v>Serviço</x:v>
      </x:c>
      <x:c r="B4" s="20" t="str">
        <x:v>Componente</x:v>
      </x:c>
      <x:c r="C4" s="20" t="str">
        <x:v>Quantidade/run</x:v>
      </x:c>
      <x:c r="D4" s="20" t="str">
        <x:v>Unidade</x:v>
      </x:c>
      <x:c r="E4" s="20" t="str">
        <x:v>Custo/run USD</x:v>
      </x:c>
      <x:c r="F4" s="20" t="str">
        <x:v>Custo/mês USD</x:v>
      </x:c>
      <x:c r="G4" s="20" t="str">
        <x:v>Custo/mês BRL</x:v>
      </x:c>
      <x:c r="H4" s="21" t="str">
        <x:v>Observação</x:v>
      </x:c>
    </x:row>
    <x:row r="5">
      <x:c r="A5" s="361" t="str">
        <x:v>AWS Lambda</x:v>
      </x:c>
      <x:c r="B5" s="361" t="str">
        <x:v>Computação da extração</x:v>
      </x:c>
      <x:c r="C5" s="362" t="n">
        <x:f>'Premissas'!C67*0.5</x:f>
        <x:v>5</x:v>
      </x:c>
      <x:c r="D5" s="362" t="str">
        <x:v>GB-s</x:v>
      </x:c>
      <x:c r="E5" s="362" t="n">
        <x:f>C5*'Premissas'!B12</x:f>
        <x:v>0.000066667</x:v>
      </x:c>
      <x:c r="F5" s="362" t="n">
        <x:f>E5*'Premissas'!$C$73</x:f>
        <x:v>0.00200001</x:v>
      </x:c>
      <x:c r="G5" s="362" t="n">
        <x:f>F5*'Premissas'!$B$6</x:f>
        <x:v>0.011000055</x:v>
      </x:c>
      <x:c r="H5" s="363" t="str">
        <x:v>512 MB ARM</x:v>
      </x:c>
    </x:row>
    <x:row r="6">
      <x:c r="A6" s="364" t="str">
        <x:v>AWS Lambda</x:v>
      </x:c>
      <x:c r="B6" s="364" t="str">
        <x:v>Invocação da extração</x:v>
      </x:c>
      <x:c r="C6" s="365" t="n">
        <x:v>1</x:v>
      </x:c>
      <x:c r="D6" s="365" t="str">
        <x:v>solicitação</x:v>
      </x:c>
      <x:c r="E6" s="365" t="n">
        <x:f>C6*'Premissas'!B13/1000000</x:f>
        <x:v>2.0000000000000002e-7</x:v>
      </x:c>
      <x:c r="F6" s="365" t="n">
        <x:f>E6*'Premissas'!$C$73</x:f>
        <x:v>0.000006</x:v>
      </x:c>
      <x:c r="G6" s="365" t="n">
        <x:f>F6*'Premissas'!$B$6</x:f>
        <x:v>0.000033</x:v>
      </x:c>
      <x:c r="H6" s="366" t="str">
        <x:v>1 período diário</x:v>
      </x:c>
    </x:row>
    <x:row r="7">
      <x:c r="A7" s="364" t="str">
        <x:v>Secrets Manager</x:v>
      </x:c>
      <x:c r="B7" s="364" t="str">
        <x:v>Leitura da chave</x:v>
      </x:c>
      <x:c r="C7" s="365" t="n">
        <x:v>1</x:v>
      </x:c>
      <x:c r="D7" s="365" t="str">
        <x:v>chamada</x:v>
      </x:c>
      <x:c r="E7" s="365" t="n">
        <x:f>C7*'Premissas'!B16/10000</x:f>
        <x:v>0.000005</x:v>
      </x:c>
      <x:c r="F7" s="365" t="n">
        <x:f>E7*'Premissas'!$C$73</x:f>
        <x:v>0.00015000000000000001</x:v>
      </x:c>
      <x:c r="G7" s="365" t="n">
        <x:f>F7*'Premissas'!$B$6</x:f>
        <x:v>0.0008250000000000001</x:v>
      </x:c>
      <x:c r="H7" s="366" t="str">
        <x:v>1 leitura por execução</x:v>
      </x:c>
    </x:row>
    <x:row r="8">
      <x:c r="A8" s="364" t="str">
        <x:v>AWS Glue</x:v>
      </x:c>
      <x:c r="B8" s="364" t="str">
        <x:v>Staging → Bronze</x:v>
      </x:c>
      <x:c r="C8" s="365" t="n">
        <x:f>'Premissas'!C66*'Premissas'!C61/60</x:f>
        <x:v>0.1</x:v>
      </x:c>
      <x:c r="D8" s="365" t="str">
        <x:v>DPU-h</x:v>
      </x:c>
      <x:c r="E8" s="365" t="n">
        <x:f>C8*'Premissas'!B10</x:f>
        <x:v>0.044000000000000004</x:v>
      </x:c>
      <x:c r="F8" s="365" t="n">
        <x:f>E8*'Premissas'!$C$73</x:f>
        <x:v>1.32</x:v>
      </x:c>
      <x:c r="G8" s="365" t="n">
        <x:f>F8*'Premissas'!$B$6</x:f>
        <x:v>7.260000000000001</x:v>
      </x:c>
      <x:c r="H8" s="366" t="str">
        <x:v>Incremental diário</x:v>
      </x:c>
    </x:row>
    <x:row r="9">
      <x:c r="A9" s="364" t="str">
        <x:v>AWS Glue</x:v>
      </x:c>
      <x:c r="B9" s="364" t="str">
        <x:v>Bronze → Silver</x:v>
      </x:c>
      <x:c r="C9" s="365" t="n">
        <x:f>'Premissas'!C66*'Premissas'!C62/60</x:f>
        <x:v>0.16666666666666666</x:v>
      </x:c>
      <x:c r="D9" s="365" t="str">
        <x:v>DPU-h</x:v>
      </x:c>
      <x:c r="E9" s="365" t="n">
        <x:f>C9*'Premissas'!B10</x:f>
        <x:v>0.07333333333333333</x:v>
      </x:c>
      <x:c r="F9" s="365" t="n">
        <x:f>E9*'Premissas'!$C$73</x:f>
        <x:v>2.2</x:v>
      </x:c>
      <x:c r="G9" s="365" t="n">
        <x:f>F9*'Premissas'!$B$6</x:f>
        <x:v>12.100000000000001</x:v>
      </x:c>
      <x:c r="H9" s="366" t="str">
        <x:v>Incremental diário</x:v>
      </x:c>
    </x:row>
    <x:row r="10">
      <x:c r="A10" s="364" t="str">
        <x:v>AWS Glue</x:v>
      </x:c>
      <x:c r="B10" s="364" t="str">
        <x:v>Silver → Gold</x:v>
      </x:c>
      <x:c r="C10" s="365" t="n">
        <x:f>'Premissas'!C66*'Premissas'!C63/60</x:f>
        <x:v>0.8333333333333334</x:v>
      </x:c>
      <x:c r="D10" s="365" t="str">
        <x:v>DPU-h</x:v>
      </x:c>
      <x:c r="E10" s="365" t="n">
        <x:f>C10*'Premissas'!B10</x:f>
        <x:v>0.3666666666666667</x:v>
      </x:c>
      <x:c r="F10" s="365" t="n">
        <x:f>E10*'Premissas'!$C$73</x:f>
        <x:v>11</x:v>
      </x:c>
      <x:c r="G10" s="365" t="n">
        <x:f>F10*'Premissas'!$B$6</x:f>
        <x:v>60.5</x:v>
      </x:c>
      <x:c r="H10" s="366" t="str">
        <x:v>Snapshot completo</x:v>
      </x:c>
    </x:row>
    <x:row r="11">
      <x:c r="A11" s="364" t="str">
        <x:v>AWS Glue</x:v>
      </x:c>
      <x:c r="B11" s="364" t="str">
        <x:v>Reconciliação</x:v>
      </x:c>
      <x:c r="C11" s="365" t="n">
        <x:f>'Premissas'!C66*'Premissas'!C64/60</x:f>
        <x:v>0.5</x:v>
      </x:c>
      <x:c r="D11" s="365" t="str">
        <x:v>DPU-h</x:v>
      </x:c>
      <x:c r="E11" s="365" t="n">
        <x:f>C11*'Premissas'!B10</x:f>
        <x:v>0.22</x:v>
      </x:c>
      <x:c r="F11" s="365" t="n">
        <x:f>E11*'Premissas'!$C$73</x:f>
        <x:v>6.6</x:v>
      </x:c>
      <x:c r="G11" s="365" t="n">
        <x:f>F11*'Premissas'!$B$6</x:f>
        <x:v>36.3</x:v>
      </x:c>
      <x:c r="H11" s="366" t="str">
        <x:v>Snapshot completo</x:v>
      </x:c>
    </x:row>
    <x:row r="12">
      <x:c r="A12" s="364" t="str">
        <x:v>AWS Glue</x:v>
      </x:c>
      <x:c r="B12" s="364" t="str">
        <x:v>Crawler Gold</x:v>
      </x:c>
      <x:c r="C12" s="365" t="n">
        <x:f>'Premissas'!C66*'Premissas'!C65/60</x:f>
        <x:v>0.16666666666666666</x:v>
      </x:c>
      <x:c r="D12" s="365" t="str">
        <x:v>DPU-h</x:v>
      </x:c>
      <x:c r="E12" s="365" t="n">
        <x:f>C12*'Premissas'!B10</x:f>
        <x:v>0.07333333333333333</x:v>
      </x:c>
      <x:c r="F12" s="365" t="n">
        <x:f>E12*'Premissas'!$C$73</x:f>
        <x:v>2.2</x:v>
      </x:c>
      <x:c r="G12" s="365" t="n">
        <x:f>F12*'Premissas'!$B$6</x:f>
        <x:v>12.100000000000001</x:v>
      </x:c>
      <x:c r="H12" s="366" t="str">
        <x:v>Atualiza catálogo</x:v>
      </x:c>
    </x:row>
    <x:row r="13">
      <x:c r="A13" s="364" t="str">
        <x:v>Step Functions</x:v>
      </x:c>
      <x:c r="B13" s="364" t="str">
        <x:v>Orquestração</x:v>
      </x:c>
      <x:c r="C13" s="365" t="n">
        <x:f>'Premissas'!C70</x:f>
        <x:v>25</x:v>
      </x:c>
      <x:c r="D13" s="365" t="str">
        <x:v>transições</x:v>
      </x:c>
      <x:c r="E13" s="365" t="n">
        <x:f>C13*'Premissas'!B14</x:f>
        <x:v>0.000625</x:v>
      </x:c>
      <x:c r="F13" s="365" t="n">
        <x:f>E13*'Premissas'!$C$73</x:f>
        <x:v>0.01875</x:v>
      </x:c>
      <x:c r="G13" s="365" t="n">
        <x:f>F13*'Premissas'!$B$6</x:f>
        <x:v>0.103125</x:v>
      </x:c>
      <x:c r="H13" s="366" t="str">
        <x:v>Standard</x:v>
      </x:c>
    </x:row>
    <x:row r="14">
      <x:c r="A14" s="364" t="str">
        <x:v>Amazon Athena</x:v>
      </x:c>
      <x:c r="B14" s="364" t="str">
        <x:v>Testes de aceitação</x:v>
      </x:c>
      <x:c r="C14" s="365" t="n">
        <x:f>'Premissas'!C68/1024</x:f>
        <x:v>0.0048828125</x:v>
      </x:c>
      <x:c r="D14" s="365" t="str">
        <x:v>TB lido</x:v>
      </x:c>
      <x:c r="E14" s="365" t="n">
        <x:f>C14*'Premissas'!B11</x:f>
        <x:v>0.0244140625</x:v>
      </x:c>
      <x:c r="F14" s="365" t="n">
        <x:f>E14*'Premissas'!$C$73</x:f>
        <x:v>0.732421875</x:v>
      </x:c>
      <x:c r="G14" s="365" t="n">
        <x:f>F14*'Premissas'!$B$6</x:f>
        <x:v>4.0283203125</x:v>
      </x:c>
      <x:c r="H14" s="366" t="str">
        <x:v>5 consultas × até 1 GiB</x:v>
      </x:c>
    </x:row>
    <x:row r="15">
      <x:c r="A15" s="364" t="str">
        <x:v>Amazon S3</x:v>
      </x:c>
      <x:c r="B15" s="364" t="str">
        <x:v>Solicitações PUT</x:v>
      </x:c>
      <x:c r="C15" s="365" t="n">
        <x:f>'Premissas'!C71/1000</x:f>
        <x:v>0.1</x:v>
      </x:c>
      <x:c r="D15" s="365" t="str">
        <x:v>mil solicitações</x:v>
      </x:c>
      <x:c r="E15" s="365" t="n">
        <x:f>C15*'Premissas'!B8</x:f>
        <x:v>0.0005</x:v>
      </x:c>
      <x:c r="F15" s="365" t="n">
        <x:f>E15*'Premissas'!$C$73</x:f>
        <x:v>0.015</x:v>
      </x:c>
      <x:c r="G15" s="365" t="n">
        <x:f>F15*'Premissas'!$B$6</x:f>
        <x:v>0.08249999999999999</x:v>
      </x:c>
      <x:c r="H15" s="366" t="str">
        <x:v>Arquivos/manifestos</x:v>
      </x:c>
    </x:row>
    <x:row r="16">
      <x:c r="A16" s="364" t="str">
        <x:v>Amazon S3</x:v>
      </x:c>
      <x:c r="B16" s="364" t="str">
        <x:v>Solicitações GET</x:v>
      </x:c>
      <x:c r="C16" s="365" t="n">
        <x:f>'Premissas'!C72/1000</x:f>
        <x:v>0.1</x:v>
      </x:c>
      <x:c r="D16" s="365" t="str">
        <x:v>mil solicitações</x:v>
      </x:c>
      <x:c r="E16" s="365" t="n">
        <x:f>C16*'Premissas'!B9</x:f>
        <x:v>0.00004</x:v>
      </x:c>
      <x:c r="F16" s="365" t="n">
        <x:f>E16*'Premissas'!$C$73</x:f>
        <x:v>0.0012000000000000001</x:v>
      </x:c>
      <x:c r="G16" s="365" t="n">
        <x:f>F16*'Premissas'!$B$6</x:f>
        <x:v>0.006600000000000001</x:v>
      </x:c>
      <x:c r="H16" s="366" t="str">
        <x:v>Leituras técnicas</x:v>
      </x:c>
    </x:row>
    <x:row r="17">
      <x:c r="A17" s="367" t="str">
        <x:v>CloudWatch</x:v>
      </x:c>
      <x:c r="B17" s="367" t="str">
        <x:v>Ingestão de logs</x:v>
      </x:c>
      <x:c r="C17" s="368" t="n">
        <x:f>'Premissas'!C69</x:f>
        <x:v>0.05</x:v>
      </x:c>
      <x:c r="D17" s="368" t="str">
        <x:v>GiB</x:v>
      </x:c>
      <x:c r="E17" s="368" t="n">
        <x:f>C17*'Premissas'!B17</x:f>
        <x:v>0.025</x:v>
      </x:c>
      <x:c r="F17" s="368" t="n">
        <x:f>E17*'Premissas'!$C$73</x:f>
        <x:v>0.75</x:v>
      </x:c>
      <x:c r="G17" s="368" t="n">
        <x:f>F17*'Premissas'!$B$6</x:f>
        <x:v>4.125</x:v>
      </x:c>
      <x:c r="H17" s="369" t="str">
        <x:v>Logs por execução</x:v>
      </x:c>
    </x:row>
    <x:row r="18">
      <x:c r="A18" s="337"/>
      <x:c r="B18" s="337"/>
      <x:c r="C18" s="370"/>
      <x:c r="D18" s="370"/>
      <x:c r="E18" s="370"/>
      <x:c r="F18" s="370"/>
      <x:c r="G18" s="370"/>
      <x:c r="H18" s="371"/>
    </x:row>
    <x:row r="19" ht="22" customHeight="1">
      <x:c r="A19" s="10" t="str">
        <x:v>Custos mensais fixos e de armazenamento</x:v>
      </x:c>
      <x:c r="B19" s="10" t="str">
        <x:v>Custos mensais fixos e de armazenamento</x:v>
      </x:c>
      <x:c r="C19" s="160" t="str">
        <x:v>Custos mensais fixos e de armazenamento</x:v>
      </x:c>
      <x:c r="D19" s="160" t="str">
        <x:v>Custos mensais fixos e de armazenamento</x:v>
      </x:c>
      <x:c r="E19" s="160" t="str">
        <x:v>Custos mensais fixos e de armazenamento</x:v>
      </x:c>
      <x:c r="F19" s="160" t="str">
        <x:v>Custos mensais fixos e de armazenamento</x:v>
      </x:c>
      <x:c r="G19" s="160" t="str">
        <x:v>Custos mensais fixos e de armazenamento</x:v>
      </x:c>
      <x:c r="H19" s="192" t="str">
        <x:v>Custos mensais fixos e de armazenamento</x:v>
      </x:c>
    </x:row>
    <x:row r="20">
      <x:c r="A20" s="19" t="str">
        <x:v>Serviço</x:v>
      </x:c>
      <x:c r="B20" s="20" t="str">
        <x:v>Componente</x:v>
      </x:c>
      <x:c r="C20" s="161" t="str">
        <x:v>Quantidade</x:v>
      </x:c>
      <x:c r="D20" s="161" t="str">
        <x:v>Unidade</x:v>
      </x:c>
      <x:c r="E20" s="161" t="str">
        <x:v>Preço</x:v>
      </x:c>
      <x:c r="F20" s="161" t="str">
        <x:v>Custo/mês USD</x:v>
      </x:c>
      <x:c r="G20" s="161" t="str">
        <x:v>Custo/mês BRL</x:v>
      </x:c>
      <x:c r="H20" s="21" t="str">
        <x:v>Observação</x:v>
      </x:c>
    </x:row>
    <x:row r="21">
      <x:c r="A21" s="361" t="str">
        <x:v>Amazon S3</x:v>
      </x:c>
      <x:c r="B21" s="361" t="str">
        <x:v>Dados vivos + crescimento médio do mês</x:v>
      </x:c>
      <x:c r="C21" s="362" t="n">
        <x:f>'Premissas'!B53+('Premissas'!B53/'Premissas'!B42*'Premissas'!C73/2)</x:f>
        <x:v>10.830617924601095</x:v>
      </x:c>
      <x:c r="D21" s="362" t="str">
        <x:v>GiB-mês</x:v>
      </x:c>
      <x:c r="E21" s="362" t="n">
        <x:f>'Premissas'!B7</x:f>
        <x:v>0.023</x:v>
      </x:c>
      <x:c r="F21" s="362" t="n">
        <x:f>C21*E21</x:f>
        <x:v>0.24910421226582516</x:v>
      </x:c>
      <x:c r="G21" s="362" t="n">
        <x:f>F21*'Premissas'!$B$6</x:f>
        <x:v>1.3700731674620383</x:v>
      </x:c>
      <x:c r="H21" s="363" t="str">
        <x:v>Partições novas; média de metade do incremento mensal.</x:v>
      </x:c>
    </x:row>
    <x:row r="22">
      <x:c r="A22" s="364" t="str">
        <x:v>Amazon S3</x:v>
      </x:c>
      <x:c r="B22" s="364" t="str">
        <x:v>Versões Gold retidas</x:v>
      </x:c>
      <x:c r="C22" s="365" t="n">
        <x:f>'Premissas'!B56</x:f>
        <x:v>75</x:v>
      </x:c>
      <x:c r="D22" s="365" t="str">
        <x:v>GiB-mês</x:v>
      </x:c>
      <x:c r="E22" s="365" t="n">
        <x:f>'Premissas'!B7</x:f>
        <x:v>0.023</x:v>
      </x:c>
      <x:c r="F22" s="365" t="n">
        <x:f>C22*E22</x:f>
        <x:v>1.7249999999999999</x:v>
      </x:c>
      <x:c r="G22" s="365" t="n">
        <x:f>F22*'Premissas'!$B$6</x:f>
        <x:v>9.487499999999999</x:v>
      </x:c>
      <x:c r="H22" s="366" t="str">
        <x:v>Modela 30 dias de versões não atuais.</x:v>
      </x:c>
    </x:row>
    <x:row r="23">
      <x:c r="A23" s="364" t="str">
        <x:v>CloudWatch</x:v>
      </x:c>
      <x:c r="B23" s="364" t="str">
        <x:v>Retenção de logs do mês</x:v>
      </x:c>
      <x:c r="C23" s="365" t="n">
        <x:f>'Premissas'!C69*'Premissas'!C73</x:f>
        <x:v>1.5</x:v>
      </x:c>
      <x:c r="D23" s="365" t="str">
        <x:v>GiB-mês</x:v>
      </x:c>
      <x:c r="E23" s="365" t="n">
        <x:f>'Premissas'!B18</x:f>
        <x:v>0.03</x:v>
      </x:c>
      <x:c r="F23" s="365" t="n">
        <x:f>C23*E23</x:f>
        <x:v>0.045</x:v>
      </x:c>
      <x:c r="G23" s="365" t="n">
        <x:f>F23*'Premissas'!$B$6</x:f>
        <x:v>0.2475</x:v>
      </x:c>
      <x:c r="H23" s="366" t="str">
        <x:v>Retenção de 30 dias.</x:v>
      </x:c>
    </x:row>
    <x:row r="24">
      <x:c r="A24" s="364" t="str">
        <x:v>Secrets Manager</x:v>
      </x:c>
      <x:c r="B24" s="364" t="str">
        <x:v>Segredo armazenado</x:v>
      </x:c>
      <x:c r="C24" s="365" t="n">
        <x:v>1</x:v>
      </x:c>
      <x:c r="D24" s="365" t="str">
        <x:v>segredo-mês</x:v>
      </x:c>
      <x:c r="E24" s="365" t="n">
        <x:f>'Premissas'!B15</x:f>
        <x:v>0.4</x:v>
      </x:c>
      <x:c r="F24" s="365" t="n">
        <x:f>C24*E24</x:f>
        <x:v>0.4</x:v>
      </x:c>
      <x:c r="G24" s="365" t="n">
        <x:f>F24*'Premissas'!$B$6</x:f>
        <x:v>2.2</x:v>
      </x:c>
      <x:c r="H24" s="366" t="str">
        <x:v>Chave da API Batch.</x:v>
      </x:c>
    </x:row>
    <x:row r="25">
      <x:c r="A25" s="364" t="str">
        <x:v>CloudWatch</x:v>
      </x:c>
      <x:c r="B25" s="364" t="str">
        <x:v>Alarmes Batch</x:v>
      </x:c>
      <x:c r="C25" s="365" t="n">
        <x:v>3</x:v>
      </x:c>
      <x:c r="D25" s="365" t="str">
        <x:v>alarme-mês</x:v>
      </x:c>
      <x:c r="E25" s="365" t="n">
        <x:f>'Premissas'!B19</x:f>
        <x:v>0.1</x:v>
      </x:c>
      <x:c r="F25" s="365" t="n">
        <x:f>C25*E25</x:f>
        <x:v>0.30000000000000004</x:v>
      </x:c>
      <x:c r="G25" s="365" t="n">
        <x:f>F25*'Premissas'!$B$6</x:f>
        <x:v>1.6500000000000004</x:v>
      </x:c>
      <x:c r="H25" s="366" t="str">
        <x:v>Falha, timeout e abortada.</x:v>
      </x:c>
    </x:row>
    <x:row r="26">
      <x:c r="A26" s="364" t="str">
        <x:v>Amazon SNS</x:v>
      </x:c>
      <x:c r="B26" s="364" t="str">
        <x:v>Alertas esperados</x:v>
      </x:c>
      <x:c r="C26" s="365" t="n">
        <x:v>0</x:v>
      </x:c>
      <x:c r="D26" s="365" t="str">
        <x:v>milhão req.</x:v>
      </x:c>
      <x:c r="E26" s="365" t="n">
        <x:f>'Premissas'!B29</x:f>
        <x:v>0.5</x:v>
      </x:c>
      <x:c r="F26" s="365" t="n">
        <x:f>C26*E26</x:f>
        <x:v>0</x:v>
      </x:c>
      <x:c r="G26" s="365" t="n">
        <x:f>F26*'Premissas'!$B$6</x:f>
        <x:v>0</x:v>
      </x:c>
      <x:c r="H26" s="366" t="str">
        <x:v>Sem falhas no cenário-base.</x:v>
      </x:c>
    </x:row>
    <x:row r="27">
      <x:c r="A27" s="364" t="str">
        <x:v>Glue Data Catalog</x:v>
      </x:c>
      <x:c r="B27" s="364" t="str">
        <x:v>Metadados</x:v>
      </x:c>
      <x:c r="C27" s="365" t="n">
        <x:v>0</x:v>
      </x:c>
      <x:c r="D27" s="365" t="str">
        <x:v>USD</x:v>
      </x:c>
      <x:c r="E27" s="365" t="n">
        <x:v>0</x:v>
      </x:c>
      <x:c r="F27" s="365" t="n">
        <x:v>0</x:v>
      </x:c>
      <x:c r="G27" s="365" t="n">
        <x:f>F27*'Premissas'!$B$6</x:f>
        <x:v>0</x:v>
      </x:c>
      <x:c r="H27" s="366" t="str">
        <x:v>Abaixo do primeiro milhão.</x:v>
      </x:c>
    </x:row>
    <x:row r="28">
      <x:c r="A28" s="367" t="str">
        <x:v>AWS IAM / Terraform</x:v>
      </x:c>
      <x:c r="B28" s="367" t="str">
        <x:v>Controle e provisionamento</x:v>
      </x:c>
      <x:c r="C28" s="368" t="n">
        <x:v>0</x:v>
      </x:c>
      <x:c r="D28" s="368" t="str">
        <x:v>USD</x:v>
      </x:c>
      <x:c r="E28" s="368" t="n">
        <x:v>0</x:v>
      </x:c>
      <x:c r="F28" s="368" t="n">
        <x:v>0</x:v>
      </x:c>
      <x:c r="G28" s="368" t="n">
        <x:f>F28*'Premissas'!$B$6</x:f>
        <x:v>0</x:v>
      </x:c>
      <x:c r="H28" s="369" t="str">
        <x:v>Sem cobrança direta.</x:v>
      </x:c>
    </x:row>
    <x:row r="29">
      <x:c r="A29" s="337"/>
      <x:c r="B29" s="337"/>
      <x:c r="C29" s="347"/>
      <x:c r="D29" s="347"/>
      <x:c r="E29" s="347"/>
      <x:c r="F29" s="347"/>
      <x:c r="G29" s="347"/>
      <x:c r="H29" s="371"/>
    </x:row>
    <x:row r="30">
      <x:c r="A30" s="372" t="str">
        <x:v>Variável mensal (30 execuções)</x:v>
      </x:c>
      <x:c r="B30" s="373"/>
      <x:c r="C30" s="374"/>
      <x:c r="D30" s="374"/>
      <x:c r="E30" s="374"/>
      <x:c r="F30" s="374" t="n">
        <x:f>SUM(F5:F17)</x:f>
        <x:v>24.839527885</x:v>
      </x:c>
      <x:c r="G30" s="375" t="n">
        <x:f>F30*'Premissas'!B6</x:f>
        <x:v>136.6174033675</x:v>
      </x:c>
      <x:c r="H30" s="371"/>
    </x:row>
    <x:row r="31">
      <x:c r="A31" s="376" t="str">
        <x:v>Fixo e armazenamento</x:v>
      </x:c>
      <x:c r="B31" s="377"/>
      <x:c r="C31" s="378"/>
      <x:c r="D31" s="378"/>
      <x:c r="E31" s="378"/>
      <x:c r="F31" s="378" t="n">
        <x:f>SUM(F21:F28)</x:f>
        <x:v>2.719104212265825</x:v>
      </x:c>
      <x:c r="G31" s="379" t="n">
        <x:f>F31*'Premissas'!B6</x:f>
        <x:v>14.955073167462038</x:v>
      </x:c>
      <x:c r="H31" s="371"/>
    </x:row>
    <x:row r="32">
      <x:c r="A32" s="380" t="str">
        <x:v>Total mensal Batch diário</x:v>
      </x:c>
      <x:c r="B32" s="381"/>
      <x:c r="C32" s="382"/>
      <x:c r="D32" s="382"/>
      <x:c r="E32" s="382"/>
      <x:c r="F32" s="383" t="n">
        <x:f>F30+F31</x:f>
        <x:v>27.558632097265825</x:v>
      </x:c>
      <x:c r="G32" s="384" t="n">
        <x:f>G30+G31</x:f>
        <x:v>151.57247653496205</x:v>
      </x:c>
      <x:c r="H32" s="371"/>
    </x:row>
    <x:row r="33">
      <x:c r="A33" s="385" t="str">
        <x:v>Média por execução diária</x:v>
      </x:c>
      <x:c r="B33" s="386"/>
      <x:c r="C33" s="387"/>
      <x:c r="D33" s="387"/>
      <x:c r="E33" s="387"/>
      <x:c r="F33" s="387" t="n">
        <x:f>F32/'Premissas'!C73</x:f>
        <x:v>0.9186210699088608</x:v>
      </x:c>
      <x:c r="G33" s="388" t="n">
        <x:f>F33*'Premissas'!B6</x:f>
        <x:v>5.052415884498735</x:v>
      </x:c>
      <x:c r="H33" s="371"/>
    </x:row>
    <x:row r="34">
      <x:c r="A34" s="337"/>
      <x:c r="B34" s="337"/>
      <x:c r="C34" s="347"/>
      <x:c r="D34" s="347"/>
      <x:c r="E34" s="347"/>
      <x:c r="F34" s="347"/>
      <x:c r="G34" s="347"/>
      <x:c r="H34" s="371"/>
    </x:row>
    <x:row r="35">
      <x:c r="A35" s="389" t="str">
        <x:v>Acréscimo mensal se versões S3 nunca expirarem</x:v>
      </x:c>
      <x:c r="B35" s="390"/>
      <x:c r="C35" s="391"/>
      <x:c r="D35" s="391"/>
      <x:c r="E35" s="391"/>
      <x:c r="F35" s="391" t="n">
        <x:f>'Premissas'!B57*'Premissas'!B7</x:f>
        <x:v>1.7249999999999999</x:v>
      </x:c>
      <x:c r="G35" s="392" t="n">
        <x:f>F35*'Premissas'!B6</x:f>
        <x:v>9.487499999999999</x:v>
      </x:c>
      <x:c r="H35" s="371"/>
    </x:row>
  </x:sheetData>
  <x:mergeCells>
    <x:mergeCell ref="A1:H1"/>
    <x:mergeCell ref="A2:H2"/>
    <x:mergeCell ref="A19:H19"/>
    <x:mergeCell ref="A30:E30"/>
    <x:mergeCell ref="A31:E31"/>
    <x:mergeCell ref="A32:E32"/>
    <x:mergeCell ref="A33:E33"/>
    <x:mergeCell ref="A35:E3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6" hidden="0" customWidth="1"/>
    <x:col min="3" max="3" width="16" hidden="0" customWidth="1"/>
    <x:col min="4" max="4" width="16" hidden="0" customWidth="1"/>
    <x:col min="5" max="5" width="38" hidden="0" customWidth="1"/>
    <x:col min="6" max="6" width="15" hidden="0" customWidth="1"/>
    <x:col min="7" max="7" width="15" hidden="0" customWidth="1"/>
  </x:cols>
  <x:sheetData>
    <x:row r="1" ht="34" customHeight="1">
      <x:c r="A1" s="4" t="str">
        <x:v>NRT — custo mensal por cenário</x:v>
      </x:c>
      <x:c r="B1" s="4" t="str">
        <x:v>NRT — custo mensal por cenário</x:v>
      </x:c>
      <x:c r="C1" s="4" t="str">
        <x:v>NRT — custo mensal por cenário</x:v>
      </x:c>
      <x:c r="D1" s="4" t="str">
        <x:v>NRT — custo mensal por cenário</x:v>
      </x:c>
      <x:c r="E1" s="4" t="str">
        <x:v>NRT — custo mensal por cenário</x:v>
      </x:c>
      <x:c r="F1" s="4" t="str">
        <x:v>NRT — custo mensal por cenário</x:v>
      </x:c>
      <x:c r="G1" s="4" t="str">
        <x:v>NRT — custo mensal por cenário</x:v>
      </x:c>
    </x:row>
    <x:row r="2" ht="30" customHeight="1">
      <x:c r="A2" s="8" t="str">
        <x:v>Cenários de 10 mil, 25 mil e 43 mil eventos/dia. O pico usa o volume informado para abril de 2024.</x:v>
      </x:c>
      <x:c r="B2" s="8" t="str">
        <x:v>Cenários de 10 mil, 25 mil e 43 mil eventos/dia. O pico usa o volume informado para abril de 2024.</x:v>
      </x:c>
      <x:c r="C2" s="8" t="str">
        <x:v>Cenários de 10 mil, 25 mil e 43 mil eventos/dia. O pico usa o volume informado para abril de 2024.</x:v>
      </x:c>
      <x:c r="D2" s="8" t="str">
        <x:v>Cenários de 10 mil, 25 mil e 43 mil eventos/dia. O pico usa o volume informado para abril de 2024.</x:v>
      </x:c>
      <x:c r="E2" s="8" t="str">
        <x:v>Cenários de 10 mil, 25 mil e 43 mil eventos/dia. O pico usa o volume informado para abril de 2024.</x:v>
      </x:c>
      <x:c r="F2" s="8" t="str">
        <x:v>Cenários de 10 mil, 25 mil e 43 mil eventos/dia. O pico usa o volume informado para abril de 2024.</x:v>
      </x:c>
      <x:c r="G2" s="8" t="str">
        <x:v>Cenários de 10 mil, 25 mil e 43 mil eventos/dia. O pico usa o volume informado para abril de 2024.</x:v>
      </x:c>
    </x:row>
    <x:row r="3">
      <x:c r="A3" s="337"/>
      <x:c r="B3" s="337"/>
      <x:c r="C3" s="337"/>
      <x:c r="D3" s="337"/>
      <x:c r="E3" s="337"/>
      <x:c r="F3" s="337"/>
      <x:c r="G3" s="337"/>
    </x:row>
    <x:row r="4">
      <x:c r="A4" s="19" t="str">
        <x:v>Serviço</x:v>
      </x:c>
      <x:c r="B4" s="20" t="str">
        <x:v>Normal USD</x:v>
      </x:c>
      <x:c r="C4" s="20" t="str">
        <x:v>Alto USD</x:v>
      </x:c>
      <x:c r="D4" s="20" t="str">
        <x:v>Pico USD</x:v>
      </x:c>
      <x:c r="E4" s="20" t="str">
        <x:v>Direcionador</x:v>
      </x:c>
      <x:c r="F4" s="20" t="str">
        <x:v>Tipo</x:v>
      </x:c>
      <x:c r="G4" s="21" t="str">
        <x:v>Fonte</x:v>
      </x:c>
    </x:row>
    <x:row r="5">
      <x:c r="A5" s="361" t="str">
        <x:v>Amazon SQS</x:v>
      </x:c>
      <x:c r="B5" s="393" t="n">
        <x:f>'Premissas'!I8*'Premissas'!I12*'Premissas'!B21/1000000</x:f>
        <x:v>0.03</x:v>
      </x:c>
      <x:c r="C5" s="393" t="n">
        <x:f>'Premissas'!J8*'Premissas'!J12*'Premissas'!B21/1000000</x:f>
        <x:v>0.075</x:v>
      </x:c>
      <x:c r="D5" s="393" t="n">
        <x:f>'Premissas'!K8*'Premissas'!K12*'Premissas'!B21/1000000</x:f>
        <x:v>0.129</x:v>
      </x:c>
      <x:c r="E5" s="363" t="str">
        <x:v>Solicitações de envio/recepção/exclusão</x:v>
      </x:c>
      <x:c r="F5" s="363" t="str">
        <x:v>Variável</x:v>
      </x:c>
      <x:c r="G5" s="363" t="str">
        <x:v>AWS-SQS</x:v>
      </x:c>
    </x:row>
    <x:row r="6">
      <x:c r="A6" s="364" t="str">
        <x:v>Lambda Processor</x:v>
      </x:c>
      <x:c r="B6" s="394" t="n">
        <x:f>'Premissas'!I47*'Premissas'!I11*'Premissas'!I12*'Premissas'!B12</x:f>
        <x:v>0.1000005</x:v>
      </x:c>
      <x:c r="C6" s="394" t="n">
        <x:f>'Premissas'!J47*'Premissas'!J11*'Premissas'!J12*'Premissas'!B12</x:f>
        <x:v>0.25000125</x:v>
      </x:c>
      <x:c r="D6" s="394" t="n">
        <x:f>'Premissas'!K47*'Premissas'!K11*'Premissas'!K12*'Premissas'!B12</x:f>
        <x:v>0.43000215</x:v>
      </x:c>
      <x:c r="E6" s="366" t="str">
        <x:v>Computação ARM</x:v>
      </x:c>
      <x:c r="F6" s="366" t="str">
        <x:v>Variável</x:v>
      </x:c>
      <x:c r="G6" s="366" t="str">
        <x:v>AWS-LAMBDA</x:v>
      </x:c>
    </x:row>
    <x:row r="7">
      <x:c r="A7" s="364" t="str">
        <x:v>Lambda Processor</x:v>
      </x:c>
      <x:c r="B7" s="394" t="n">
        <x:f>'Premissas'!I47*'Premissas'!B13/1000000</x:f>
        <x:v>0.006</x:v>
      </x:c>
      <x:c r="C7" s="394" t="n">
        <x:f>'Premissas'!J47*'Premissas'!B13/1000000</x:f>
        <x:v>0.015</x:v>
      </x:c>
      <x:c r="D7" s="394" t="n">
        <x:f>'Premissas'!K47*'Premissas'!B13/1000000</x:f>
        <x:v>0.0258</x:v>
      </x:c>
      <x:c r="E7" s="366" t="str">
        <x:v>Invocações</x:v>
      </x:c>
      <x:c r="F7" s="366" t="str">
        <x:v>Variável</x:v>
      </x:c>
      <x:c r="G7" s="366" t="str">
        <x:v>AWS-LAMBDA</x:v>
      </x:c>
    </x:row>
    <x:row r="8">
      <x:c r="A8" s="364" t="str">
        <x:v>AWS KMS</x:v>
      </x:c>
      <x:c r="B8" s="394" t="n">
        <x:f>'Premissas'!B27</x:f>
        <x:v>1</x:v>
      </x:c>
      <x:c r="C8" s="394" t="n">
        <x:f>'Premissas'!B27</x:f>
        <x:v>1</x:v>
      </x:c>
      <x:c r="D8" s="394" t="n">
        <x:f>'Premissas'!B27</x:f>
        <x:v>1</x:v>
      </x:c>
      <x:c r="E8" s="366" t="str">
        <x:v>Chave HMAC</x:v>
      </x:c>
      <x:c r="F8" s="366" t="str">
        <x:v>Fixo</x:v>
      </x:c>
      <x:c r="G8" s="366" t="str">
        <x:v>AWS-KMS</x:v>
      </x:c>
    </x:row>
    <x:row r="9">
      <x:c r="A9" s="364" t="str">
        <x:v>AWS KMS</x:v>
      </x:c>
      <x:c r="B9" s="394" t="n">
        <x:f>'Premissas'!I52*'Premissas'!B28/10000</x:f>
        <x:v>0.903</x:v>
      </x:c>
      <x:c r="C9" s="394" t="n">
        <x:f>'Premissas'!J52*'Premissas'!B28/10000</x:f>
        <x:v>2.253</x:v>
      </x:c>
      <x:c r="D9" s="394" t="n">
        <x:f>'Premissas'!K52*'Premissas'!B28/10000</x:f>
        <x:v>3.873</x:v>
      </x:c>
      <x:c r="E9" s="366" t="str">
        <x:v>GenerateMac</x:v>
      </x:c>
      <x:c r="F9" s="366" t="str">
        <x:v>Variável</x:v>
      </x:c>
      <x:c r="G9" s="366" t="str">
        <x:v>AWS-KMS</x:v>
      </x:c>
    </x:row>
    <x:row r="10">
      <x:c r="A10" s="364" t="str">
        <x:v>DynamoDB</x:v>
      </x:c>
      <x:c r="B10" s="394" t="n">
        <x:f>'Premissas'!I48*'Premissas'!B22/1000000</x:f>
        <x:v>1.7250000000000003</x:v>
      </x:c>
      <x:c r="C10" s="394" t="n">
        <x:f>'Premissas'!J48*'Premissas'!B22/1000000</x:f>
        <x:v>4.312500000000001</x:v>
      </x:c>
      <x:c r="D10" s="394" t="n">
        <x:f>'Premissas'!K48*'Premissas'!B22/1000000</x:f>
        <x:v>7.417500000000001</x:v>
      </x:c>
      <x:c r="E10" s="366" t="str">
        <x:v>Escritas transacionais + tokens</x:v>
      </x:c>
      <x:c r="F10" s="366" t="str">
        <x:v>Variável</x:v>
      </x:c>
      <x:c r="G10" s="366" t="str">
        <x:v>AWS-DDB</x:v>
      </x:c>
    </x:row>
    <x:row r="11">
      <x:c r="A11" s="364" t="str">
        <x:v>DynamoDB</x:v>
      </x:c>
      <x:c r="B11" s="394" t="n">
        <x:f>'Premissas'!I49*'Premissas'!B23/1000000</x:f>
        <x:v>0.075</x:v>
      </x:c>
      <x:c r="C11" s="394" t="n">
        <x:f>'Premissas'!J49*'Premissas'!B23/1000000</x:f>
        <x:v>0.1875</x:v>
      </x:c>
      <x:c r="D11" s="394" t="n">
        <x:f>'Premissas'!K49*'Premissas'!B23/1000000</x:f>
        <x:v>0.3225</x:v>
      </x:c>
      <x:c r="E11" s="366" t="str">
        <x:v>Leitura do cofre pelo Processor</x:v>
      </x:c>
      <x:c r="F11" s="366" t="str">
        <x:v>Variável</x:v>
      </x:c>
      <x:c r="G11" s="366" t="str">
        <x:v>AWS-DDB</x:v>
      </x:c>
    </x:row>
    <x:row r="12">
      <x:c r="A12" s="364" t="str">
        <x:v>DynamoDB</x:v>
      </x:c>
      <x:c r="B12" s="394" t="n">
        <x:f>'Premissas'!I50*'Premissas'!B23/1000000</x:f>
        <x:v>0.1875</x:v>
      </x:c>
      <x:c r="C12" s="394" t="n">
        <x:f>'Premissas'!J50*'Premissas'!B23/1000000</x:f>
        <x:v>0.46875000000000006</x:v>
      </x:c>
      <x:c r="D12" s="394" t="n">
        <x:f>'Premissas'!K50*'Premissas'!B23/1000000</x:f>
        <x:v>0.80625</x:v>
      </x:c>
      <x:c r="E12" s="366" t="str">
        <x:v>Leituras do dashboard</x:v>
      </x:c>
      <x:c r="F12" s="366" t="str">
        <x:v>Variável</x:v>
      </x:c>
      <x:c r="G12" s="366" t="str">
        <x:v>AWS-DDB</x:v>
      </x:c>
    </x:row>
    <x:row r="13">
      <x:c r="A13" s="364" t="str">
        <x:v>DynamoDB</x:v>
      </x:c>
      <x:c r="B13" s="394" t="n">
        <x:f>'Premissas'!I51*'Premissas'!B24</x:f>
        <x:v>0.5055665969848633</x:v>
      </x:c>
      <x:c r="C13" s="394" t="n">
        <x:f>'Premissas'!J51*'Premissas'!B24</x:f>
        <x:v>1.2639164924621582</x:v>
      </x:c>
      <x:c r="D13" s="394" t="n">
        <x:f>'Premissas'!K51*'Premissas'!B24</x:f>
        <x:v>2.173936367034912</x:v>
      </x:c>
      <x:c r="E13" s="366" t="str">
        <x:v>Armazenamento com TTL</x:v>
      </x:c>
      <x:c r="F13" s="366" t="str">
        <x:v>Variável</x:v>
      </x:c>
      <x:c r="G13" s="366" t="str">
        <x:v>AWS-DDB</x:v>
      </x:c>
    </x:row>
    <x:row r="14">
      <x:c r="A14" s="364" t="str">
        <x:v>DynamoDB</x:v>
      </x:c>
      <x:c r="B14" s="394" t="n">
        <x:f>'Premissas'!I51*'Premissas'!B25</x:f>
        <x:v>0.4044532775878906</x:v>
      </x:c>
      <x:c r="C14" s="394" t="n">
        <x:f>'Premissas'!J51*'Premissas'!B25</x:f>
        <x:v>1.0111331939697266</x:v>
      </x:c>
      <x:c r="D14" s="394" t="n">
        <x:f>'Premissas'!K51*'Premissas'!B25</x:f>
        <x:v>1.7391490936279297</x:v>
      </x:c>
      <x:c r="E14" s="366" t="str">
        <x:v>PITR nas quatro tabelas</x:v>
      </x:c>
      <x:c r="F14" s="366" t="str">
        <x:v>Variável</x:v>
      </x:c>
      <x:c r="G14" s="366" t="str">
        <x:v>AWS-DDB-PITR</x:v>
      </x:c>
    </x:row>
    <x:row r="15">
      <x:c r="A15" s="364" t="str">
        <x:v>API Gateway</x:v>
      </x:c>
      <x:c r="B15" s="394" t="n">
        <x:f>'Premissas'!I46*'Premissas'!B26/1000000</x:f>
        <x:v>0.2044</x:v>
      </x:c>
      <x:c r="C15" s="394" t="n">
        <x:f>'Premissas'!J46*'Premissas'!B26/1000000</x:f>
        <x:v>0.2044</x:v>
      </x:c>
      <x:c r="D15" s="394" t="n">
        <x:f>'Premissas'!K46*'Premissas'!B26/1000000</x:f>
        <x:v>0.2044</x:v>
      </x:c>
      <x:c r="E15" s="366" t="str">
        <x:v>Chamadas HTTP API</x:v>
      </x:c>
      <x:c r="F15" s="366" t="str">
        <x:v>Variável</x:v>
      </x:c>
      <x:c r="G15" s="366" t="str">
        <x:v>AWS-APIGW</x:v>
      </x:c>
    </x:row>
    <x:row r="16">
      <x:c r="A16" s="364" t="str">
        <x:v>Lambda API</x:v>
      </x:c>
      <x:c r="B16" s="394" t="n">
        <x:f>'Premissas'!I46*'Premissas'!I25*'Premissas'!I26*'Premissas'!B12</x:f>
        <x:v>0.34066837</x:v>
      </x:c>
      <x:c r="C16" s="394" t="n">
        <x:f>'Premissas'!J46*'Premissas'!J25*'Premissas'!J26*'Premissas'!B12</x:f>
        <x:v>0.34066837</x:v>
      </x:c>
      <x:c r="D16" s="394" t="n">
        <x:f>'Premissas'!K46*'Premissas'!K25*'Premissas'!K26*'Premissas'!B12</x:f>
        <x:v>0.34066837</x:v>
      </x:c>
      <x:c r="E16" s="366" t="str">
        <x:v>Computação ARM</x:v>
      </x:c>
      <x:c r="F16" s="366" t="str">
        <x:v>Variável</x:v>
      </x:c>
      <x:c r="G16" s="366" t="str">
        <x:v>AWS-LAMBDA</x:v>
      </x:c>
    </x:row>
    <x:row r="17">
      <x:c r="A17" s="364" t="str">
        <x:v>Lambda API</x:v>
      </x:c>
      <x:c r="B17" s="394" t="n">
        <x:f>'Premissas'!I46*'Premissas'!B13/1000000</x:f>
        <x:v>0.04088</x:v>
      </x:c>
      <x:c r="C17" s="394" t="n">
        <x:f>'Premissas'!J46*'Premissas'!B13/1000000</x:f>
        <x:v>0.04088</x:v>
      </x:c>
      <x:c r="D17" s="394" t="n">
        <x:f>'Premissas'!K46*'Premissas'!B13/1000000</x:f>
        <x:v>0.04088</x:v>
      </x:c>
      <x:c r="E17" s="366" t="str">
        <x:v>Invocações</x:v>
      </x:c>
      <x:c r="F17" s="366" t="str">
        <x:v>Variável</x:v>
      </x:c>
      <x:c r="G17" s="366" t="str">
        <x:v>AWS-LAMBDA</x:v>
      </x:c>
    </x:row>
    <x:row r="18">
      <x:c r="A18" s="364" t="str">
        <x:v>API Gateway</x:v>
      </x:c>
      <x:c r="B18" s="394" t="n">
        <x:f>'Premissas'!I46*'Premissas'!I41/1024/1024*'Premissas'!B30</x:f>
        <x:v>0.03508758544921875</x:v>
      </x:c>
      <x:c r="C18" s="394" t="n">
        <x:f>'Premissas'!J46*'Premissas'!J41/1024/1024*'Premissas'!B30</x:f>
        <x:v>0.03508758544921875</x:v>
      </x:c>
      <x:c r="D18" s="394" t="n">
        <x:f>'Premissas'!K46*'Premissas'!K41/1024/1024*'Premissas'!B30</x:f>
        <x:v>0.03508758544921875</x:v>
      </x:c>
      <x:c r="E18" s="366" t="str">
        <x:v>Transferência de resposta</x:v>
      </x:c>
      <x:c r="F18" s="366" t="str">
        <x:v>Variável</x:v>
      </x:c>
      <x:c r="G18" s="366" t="str">
        <x:v>AWS-APIGW</x:v>
      </x:c>
    </x:row>
    <x:row r="19">
      <x:c r="A19" s="364" t="str">
        <x:v>CloudWatch</x:v>
      </x:c>
      <x:c r="B19" s="394" t="n">
        <x:f>'Premissas'!I53*'Premissas'!B17</x:f>
        <x:v>0.19178390502929688</x:v>
      </x:c>
      <x:c r="C19" s="394" t="n">
        <x:f>'Premissas'!J53*'Premissas'!B17</x:f>
        <x:v>0.4063606262207031</x:v>
      </x:c>
      <x:c r="D19" s="394" t="n">
        <x:f>'Premissas'!K53*'Premissas'!B17</x:f>
        <x:v>0.6638526916503906</x:v>
      </x:c>
      <x:c r="E19" s="366" t="str">
        <x:v>Ingestão de logs</x:v>
      </x:c>
      <x:c r="F19" s="366" t="str">
        <x:v>Variável</x:v>
      </x:c>
      <x:c r="G19" s="366" t="str">
        <x:v>AWS-CW</x:v>
      </x:c>
    </x:row>
    <x:row r="20">
      <x:c r="A20" s="364" t="str">
        <x:v>CloudWatch</x:v>
      </x:c>
      <x:c r="B20" s="394" t="n">
        <x:f>'Premissas'!I53*'Premissas'!B18</x:f>
        <x:v>0.011507034301757812</x:v>
      </x:c>
      <x:c r="C20" s="394" t="n">
        <x:f>'Premissas'!J53*'Premissas'!B18</x:f>
        <x:v>0.024381637573242188</x:v>
      </x:c>
      <x:c r="D20" s="394" t="n">
        <x:f>'Premissas'!K53*'Premissas'!B18</x:f>
        <x:v>0.03983116149902344</x:v>
      </x:c>
      <x:c r="E20" s="366" t="str">
        <x:v>Retenção de logs</x:v>
      </x:c>
      <x:c r="F20" s="366" t="str">
        <x:v>Variável</x:v>
      </x:c>
      <x:c r="G20" s="366" t="str">
        <x:v>AWS-CW</x:v>
      </x:c>
    </x:row>
    <x:row r="21">
      <x:c r="A21" s="364" t="str">
        <x:v>CloudWatch</x:v>
      </x:c>
      <x:c r="B21" s="394" t="n">
        <x:f>'Premissas'!I38*'Premissas'!B20</x:f>
        <x:v>5.3999999999999995</x:v>
      </x:c>
      <x:c r="C21" s="394" t="n">
        <x:f>'Premissas'!J38*'Premissas'!B20</x:f>
        <x:v>5.3999999999999995</x:v>
      </x:c>
      <x:c r="D21" s="394" t="n">
        <x:f>'Premissas'!K38*'Premissas'!B20</x:f>
        <x:v>5.3999999999999995</x:v>
      </x:c>
      <x:c r="E21" s="366" t="str">
        <x:v>Métricas detalhadas da API</x:v>
      </x:c>
      <x:c r="F21" s="366" t="str">
        <x:v>Fixo</x:v>
      </x:c>
      <x:c r="G21" s="366" t="str">
        <x:v>AWS-CW</x:v>
      </x:c>
    </x:row>
    <x:row r="22">
      <x:c r="A22" s="364" t="str">
        <x:v>CloudWatch</x:v>
      </x:c>
      <x:c r="B22" s="394" t="n">
        <x:f>'Premissas'!I39*'Premissas'!B19</x:f>
        <x:v>0.5</x:v>
      </x:c>
      <x:c r="C22" s="394" t="n">
        <x:f>'Premissas'!J39*'Premissas'!B19</x:f>
        <x:v>0.5</x:v>
      </x:c>
      <x:c r="D22" s="394" t="n">
        <x:f>'Premissas'!K39*'Premissas'!B19</x:f>
        <x:v>0.5</x:v>
      </x:c>
      <x:c r="E22" s="366" t="str">
        <x:v>Alarmes NRT</x:v>
      </x:c>
      <x:c r="F22" s="366" t="str">
        <x:v>Fixo</x:v>
      </x:c>
      <x:c r="G22" s="366" t="str">
        <x:v>AWS-CW</x:v>
      </x:c>
    </x:row>
    <x:row r="23">
      <x:c r="A23" s="364" t="str">
        <x:v>Amazon SNS</x:v>
      </x:c>
      <x:c r="B23" s="394" t="n">
        <x:f>'Premissas'!I40*'Premissas'!B29/1000000</x:f>
        <x:v>0</x:v>
      </x:c>
      <x:c r="C23" s="394" t="n">
        <x:f>'Premissas'!J40*'Premissas'!B29/1000000</x:f>
        <x:v>0</x:v>
      </x:c>
      <x:c r="D23" s="394" t="n">
        <x:f>'Premissas'!K40*'Premissas'!B29/1000000</x:f>
        <x:v>0</x:v>
      </x:c>
      <x:c r="E23" s="366" t="str">
        <x:v>Alertas esperados</x:v>
      </x:c>
      <x:c r="F23" s="366" t="str">
        <x:v>Variável</x:v>
      </x:c>
      <x:c r="G23" s="366" t="str">
        <x:v>AWS-SNS</x:v>
      </x:c>
    </x:row>
    <x:row r="24">
      <x:c r="A24" s="364" t="str">
        <x:v>AWS IAM</x:v>
      </x:c>
      <x:c r="B24" s="394" t="n">
        <x:v>0</x:v>
      </x:c>
      <x:c r="C24" s="394" t="n">
        <x:v>0</x:v>
      </x:c>
      <x:c r="D24" s="394" t="n">
        <x:v>0</x:v>
      </x:c>
      <x:c r="E24" s="366" t="str">
        <x:v>Perfis e políticas</x:v>
      </x:c>
      <x:c r="F24" s="366" t="str">
        <x:v>Fixo</x:v>
      </x:c>
      <x:c r="G24" s="366" t="str">
        <x:v>AWS-IAM</x:v>
      </x:c>
    </x:row>
    <x:row r="25">
      <x:c r="A25" s="364" t="str">
        <x:v>Terraform OSS</x:v>
      </x:c>
      <x:c r="B25" s="394" t="n">
        <x:v>0</x:v>
      </x:c>
      <x:c r="C25" s="394" t="n">
        <x:v>0</x:v>
      </x:c>
      <x:c r="D25" s="394" t="n">
        <x:v>0</x:v>
      </x:c>
      <x:c r="E25" s="366" t="str">
        <x:v>Infraestrutura como código</x:v>
      </x:c>
      <x:c r="F25" s="366" t="str">
        <x:v>Fixo</x:v>
      </x:c>
      <x:c r="G25" s="366" t="str">
        <x:v>TF</x:v>
      </x:c>
    </x:row>
    <x:row r="26">
      <x:c r="A26" s="367" t="str">
        <x:v>Docker/FastAPI/Streamlit</x:v>
      </x:c>
      <x:c r="B26" s="395" t="n">
        <x:v>0</x:v>
      </x:c>
      <x:c r="C26" s="395" t="n">
        <x:v>0</x:v>
      </x:c>
      <x:c r="D26" s="395" t="n">
        <x:v>0</x:v>
      </x:c>
      <x:c r="E26" s="369" t="str">
        <x:v>Apoio local à demonstração</x:v>
      </x:c>
      <x:c r="F26" s="369" t="str">
        <x:v>Fora do core</x:v>
      </x:c>
      <x:c r="G26" s="369" t="str">
        <x:v>LOCAL</x:v>
      </x:c>
    </x:row>
    <x:row r="27">
      <x:c r="A27" s="337"/>
      <x:c r="B27" s="396"/>
      <x:c r="C27" s="396"/>
      <x:c r="D27" s="396"/>
      <x:c r="E27" s="371"/>
      <x:c r="F27" s="371"/>
      <x:c r="G27" s="371"/>
    </x:row>
    <x:row r="28">
      <x:c r="A28" s="397" t="str">
        <x:v>Total NRT mensal</x:v>
      </x:c>
      <x:c r="B28" s="398" t="n">
        <x:f>SUM(B5:B26)</x:f>
        <x:v>11.660847269353027</x:v>
      </x:c>
      <x:c r="C28" s="398" t="n">
        <x:f>SUM(C5:C26)</x:f>
        <x:v>17.78857915567505</x:v>
      </x:c>
      <x:c r="D28" s="398" t="n">
        <x:f>SUM(D5:D26)</x:f>
        <x:v>25.141857419261473</x:v>
      </x:c>
      <x:c r="E28" s="399" t="str">
        <x:v>Soma dos componentes do NRT.</x:v>
      </x:c>
      <x:c r="F28" s="399"/>
      <x:c r="G28" s="420"/>
    </x:row>
    <x:row r="29">
      <x:c r="A29" s="376" t="str">
        <x:v>Custo por 1.000 eventos</x:v>
      </x:c>
      <x:c r="B29" s="402" t="n">
        <x:f>B28/('Premissas'!I8/1000)</x:f>
        <x:v>0.038869490897843424</x:v>
      </x:c>
      <x:c r="C29" s="402" t="n">
        <x:f>C28/('Premissas'!J8/1000)</x:f>
        <x:v>0.023718105540900064</x:v>
      </x:c>
      <x:c r="D29" s="402" t="n">
        <x:f>D28/('Premissas'!K8/1000)</x:f>
        <x:v>0.01948981195291587</x:v>
      </x:c>
      <x:c r="E29" s="403" t="str">
        <x:v>Custo técnico unitário, sem mão de obra.</x:v>
      </x:c>
      <x:c r="F29" s="403"/>
      <x:c r="G29" s="421"/>
    </x:row>
    <x:row r="30">
      <x:c r="A30" s="376" t="str">
        <x:v>Batch diário mensal</x:v>
      </x:c>
      <x:c r="B30" s="402" t="n">
        <x:f>'Batch Diário'!F32</x:f>
        <x:v>27.558632097265825</x:v>
      </x:c>
      <x:c r="C30" s="402" t="n">
        <x:f>'Batch Diário'!F32</x:f>
        <x:v>27.558632097265825</x:v>
      </x:c>
      <x:c r="D30" s="402" t="n">
        <x:f>'Batch Diário'!F32</x:f>
        <x:v>27.558632097265825</x:v>
      </x:c>
      <x:c r="E30" s="403" t="str">
        <x:v>Componente Batch comum aos cenários.</x:v>
      </x:c>
      <x:c r="F30" s="403"/>
      <x:c r="G30" s="421"/>
    </x:row>
    <x:row r="31">
      <x:c r="A31" s="405" t="str">
        <x:v>Plataforma total mensal</x:v>
      </x:c>
      <x:c r="B31" s="406" t="n">
        <x:f>B28+B30</x:f>
        <x:v>39.219479366618856</x:v>
      </x:c>
      <x:c r="C31" s="406" t="n">
        <x:f>C28+C30</x:f>
        <x:v>45.34721125294087</x:v>
      </x:c>
      <x:c r="D31" s="406" t="n">
        <x:f>D28+D30</x:f>
        <x:v>52.7004895165273</x:v>
      </x:c>
      <x:c r="E31" s="407" t="str">
        <x:v>Batch + NRT.</x:v>
      </x:c>
      <x:c r="F31" s="407"/>
      <x:c r="G31" s="422"/>
    </x:row>
    <x:row r="32">
      <x:c r="A32" s="410" t="str">
        <x:v>Plataforma total em BRL</x:v>
      </x:c>
      <x:c r="B32" s="411" t="n">
        <x:f>B31*'Premissas'!B6</x:f>
        <x:v>215.7071365164037</x:v>
      </x:c>
      <x:c r="C32" s="411" t="n">
        <x:f>C31*'Premissas'!B6</x:f>
        <x:v>249.4096618911748</x:v>
      </x:c>
      <x:c r="D32" s="411" t="n">
        <x:f>D31*'Premissas'!B6</x:f>
        <x:v>289.85269234090015</x:v>
      </x:c>
      <x:c r="E32" s="412" t="str">
        <x:v>Conversão pelo câmbio ilustrativo.</x:v>
      </x:c>
      <x:c r="F32" s="412"/>
      <x:c r="G32" s="423"/>
    </x:row>
  </x:sheetData>
  <x:mergeCells>
    <x:mergeCell ref="A1:G1"/>
    <x:mergeCell ref="A2:G2"/>
    <x:mergeCell ref="E28:G28"/>
    <x:mergeCell ref="E29:G29"/>
    <x:mergeCell ref="E30:G30"/>
    <x:mergeCell ref="E31:G31"/>
    <x:mergeCell ref="E32:G32"/>
  </x:mergeCells>
  <x:conditionalFormatting sqref="D5:D32">
    <x:cfRule type="dataBar" priority="1">
      <x:dataBar>
        <x:cfvo type="min"/>
        <x:cfvo type="max"/>
        <x:color rgb="FFB91C1C"/>
      </x:dataBar>
      <x:extLst>
        <x:ext xmlns:x14="http://schemas.microsoft.com/office/spreadsheetml/2009/9/main" uri="{B025F937-C7B1-47D3-B67F-A62EFF666E3E}">
          <x14:id>{D19A7FAC-7170-5E45-2EB8-10D10B1D04DD}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D19A7FAC-7170-5E45-2EB8-10D10B1D04DD}">
            <x14:dataBar gradient="1">
              <x14:cfvo type="min"/>
              <x14:cfvo type="max"/>
              <x14:fillColor rgb="FFB91C1C"/>
            </x14:dataBar>
          </x14:cfRule>
          <xm:sqref>D5:D32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5" hidden="0" customWidth="1"/>
    <x:col min="3" max="3" width="43" hidden="0" customWidth="1"/>
    <x:col min="4" max="4" width="24" hidden="0" customWidth="1"/>
    <x:col min="5" max="5" width="13" hidden="0" customWidth="1"/>
    <x:col min="6" max="6" width="13" hidden="0" customWidth="1"/>
    <x:col min="7" max="7" width="42" hidden="0" customWidth="1"/>
  </x:cols>
  <x:sheetData>
    <x:row r="1" ht="34" customHeight="1">
      <x:c r="A1" s="4" t="str">
        <x:v>Inventário de tecnologias e tratamento no modelo</x:v>
      </x:c>
      <x:c r="B1" s="4" t="str">
        <x:v>Inventário de tecnologias e tratamento no modelo</x:v>
      </x:c>
      <x:c r="C1" s="4" t="str">
        <x:v>Inventário de tecnologias e tratamento no modelo</x:v>
      </x:c>
      <x:c r="D1" s="4" t="str">
        <x:v>Inventário de tecnologias e tratamento no modelo</x:v>
      </x:c>
      <x:c r="E1" s="4" t="str">
        <x:v>Inventário de tecnologias e tratamento no modelo</x:v>
      </x:c>
      <x:c r="F1" s="4" t="str">
        <x:v>Inventário de tecnologias e tratamento no modelo</x:v>
      </x:c>
      <x:c r="G1" s="4" t="str">
        <x:v>Inventário de tecnologias e tratamento no modelo</x:v>
      </x:c>
    </x:row>
    <x:row r="2" ht="30" customHeight="1">
      <x:c r="A2" s="8" t="str">
        <x:v>Todos os serviços do repositório são listados, inclusive itens sem cobrança direta e componentes locais fora do núcleo AWS.</x:v>
      </x:c>
      <x:c r="B2" s="8" t="str">
        <x:v>Todos os serviços do repositório são listados, inclusive itens sem cobrança direta e componentes locais fora do núcleo AWS.</x:v>
      </x:c>
      <x:c r="C2" s="8" t="str">
        <x:v>Todos os serviços do repositório são listados, inclusive itens sem cobrança direta e componentes locais fora do núcleo AWS.</x:v>
      </x:c>
      <x:c r="D2" s="8" t="str">
        <x:v>Todos os serviços do repositório são listados, inclusive itens sem cobrança direta e componentes locais fora do núcleo AWS.</x:v>
      </x:c>
      <x:c r="E2" s="8" t="str">
        <x:v>Todos os serviços do repositório são listados, inclusive itens sem cobrança direta e componentes locais fora do núcleo AWS.</x:v>
      </x:c>
      <x:c r="F2" s="8" t="str">
        <x:v>Todos os serviços do repositório são listados, inclusive itens sem cobrança direta e componentes locais fora do núcleo AWS.</x:v>
      </x:c>
      <x:c r="G2" s="8" t="str">
        <x:v>Todos os serviços do repositório são listados, inclusive itens sem cobrança direta e componentes locais fora do núcleo AWS.</x:v>
      </x:c>
    </x:row>
    <x:row r="3">
      <x:c r="A3" s="337"/>
      <x:c r="B3" s="337"/>
      <x:c r="C3" s="337"/>
      <x:c r="D3" s="337"/>
      <x:c r="E3" s="337"/>
      <x:c r="F3" s="337"/>
      <x:c r="G3" s="337"/>
    </x:row>
    <x:row r="4">
      <x:c r="A4" s="19" t="str">
        <x:v>Tecnologia</x:v>
      </x:c>
      <x:c r="B4" s="20" t="str">
        <x:v>Fluxo</x:v>
      </x:c>
      <x:c r="C4" s="20" t="str">
        <x:v>Uso no projeto</x:v>
      </x:c>
      <x:c r="D4" s="20" t="str">
        <x:v>Cobrança principal</x:v>
      </x:c>
      <x:c r="E4" s="20" t="str">
        <x:v>Incluída?</x:v>
      </x:c>
      <x:c r="F4" s="20" t="str">
        <x:v>Aba</x:v>
      </x:c>
      <x:c r="G4" s="21" t="str">
        <x:v>Observação</x:v>
      </x:c>
    </x:row>
    <x:row r="5" ht="35" customHeight="1">
      <x:c r="A5" s="363" t="str">
        <x:v>Amazon S3</x:v>
      </x:c>
      <x:c r="B5" s="363" t="str">
        <x:v>Batch</x:v>
      </x:c>
      <x:c r="C5" s="363" t="str">
        <x:v>Staging, Bronze, Silver, Quarentena, Gold, artefatos, logs e resultados</x:v>
      </x:c>
      <x:c r="D5" s="363" t="str">
        <x:v>GB-mês e solicitações</x:v>
      </x:c>
      <x:c r="E5" s="363" t="str">
        <x:v>Sim</x:v>
      </x:c>
      <x:c r="F5" s="363" t="str">
        <x:v>Batch</x:v>
      </x:c>
      <x:c r="G5" s="363" t="str">
        <x:v>Versionamento habilitado.</x:v>
      </x:c>
    </x:row>
    <x:row r="6" ht="35" customHeight="1">
      <x:c r="A6" s="366" t="str">
        <x:v>AWS Glue ETL</x:v>
      </x:c>
      <x:c r="B6" s="366" t="str">
        <x:v>Batch</x:v>
      </x:c>
      <x:c r="C6" s="366" t="str">
        <x:v>4 jobs PySpark</x:v>
      </x:c>
      <x:c r="D6" s="366" t="str">
        <x:v>DPU-h</x:v>
      </x:c>
      <x:c r="E6" s="366" t="str">
        <x:v>Sim</x:v>
      </x:c>
      <x:c r="F6" s="366" t="str">
        <x:v>Batch</x:v>
      </x:c>
      <x:c r="G6" s="366" t="str">
        <x:v>2 workers G.1X por job.</x:v>
      </x:c>
    </x:row>
    <x:row r="7" ht="35" customHeight="1">
      <x:c r="A7" s="366" t="str">
        <x:v>AWS Glue Crawler/Data Catalog</x:v>
      </x:c>
      <x:c r="B7" s="366" t="str">
        <x:v>Batch</x:v>
      </x:c>
      <x:c r="C7" s="366" t="str">
        <x:v>Catálogo da Gold</x:v>
      </x:c>
      <x:c r="D7" s="366" t="str">
        <x:v>DPU-h / objetos</x:v>
      </x:c>
      <x:c r="E7" s="366" t="str">
        <x:v>Sim</x:v>
      </x:c>
      <x:c r="F7" s="366" t="str">
        <x:v>Batch</x:v>
      </x:c>
      <x:c r="G7" s="366" t="str">
        <x:v>Catalog dentro da faixa gratuita modelado como zero.</x:v>
      </x:c>
    </x:row>
    <x:row r="8" ht="35" customHeight="1">
      <x:c r="A8" s="366" t="str">
        <x:v>Amazon Athena</x:v>
      </x:c>
      <x:c r="B8" s="366" t="str">
        <x:v>Batch</x:v>
      </x:c>
      <x:c r="C8" s="366" t="str">
        <x:v>Views e testes de aceitação</x:v>
      </x:c>
      <x:c r="D8" s="366" t="str">
        <x:v>TB lido</x:v>
      </x:c>
      <x:c r="E8" s="366" t="str">
        <x:v>Sim</x:v>
      </x:c>
      <x:c r="F8" s="366" t="str">
        <x:v>Batch</x:v>
      </x:c>
      <x:c r="G8" s="366" t="str">
        <x:v>Cutoff de 1 GiB por consulta.</x:v>
      </x:c>
    </x:row>
    <x:row r="9" ht="35" customHeight="1">
      <x:c r="A9" s="366" t="str">
        <x:v>AWS Lambda</x:v>
      </x:c>
      <x:c r="B9" s="366" t="str">
        <x:v>Batch/NRT</x:v>
      </x:c>
      <x:c r="C9" s="366" t="str">
        <x:v>Extração, Processor e API</x:v>
      </x:c>
      <x:c r="D9" s="366" t="str">
        <x:v>GB-s e invocações</x:v>
      </x:c>
      <x:c r="E9" s="366" t="str">
        <x:v>Sim</x:v>
      </x:c>
      <x:c r="F9" s="366" t="str">
        <x:v>Batch/NRT</x:v>
      </x:c>
      <x:c r="G9" s="366" t="str">
        <x:v>ARM64.</x:v>
      </x:c>
    </x:row>
    <x:row r="10" ht="35" customHeight="1">
      <x:c r="A10" s="366" t="str">
        <x:v>AWS Step Functions</x:v>
      </x:c>
      <x:c r="B10" s="366" t="str">
        <x:v>Batch</x:v>
      </x:c>
      <x:c r="C10" s="366" t="str">
        <x:v>Orquestração Standard</x:v>
      </x:c>
      <x:c r="D10" s="366" t="str">
        <x:v>Transições</x:v>
      </x:c>
      <x:c r="E10" s="366" t="str">
        <x:v>Sim</x:v>
      </x:c>
      <x:c r="F10" s="366" t="str">
        <x:v>Batch</x:v>
      </x:c>
      <x:c r="G10" s="366" t="str">
        <x:v>Backfill e carga pontual.</x:v>
      </x:c>
    </x:row>
    <x:row r="11" ht="35" customHeight="1">
      <x:c r="A11" s="366" t="str">
        <x:v>Amazon SQS</x:v>
      </x:c>
      <x:c r="B11" s="366" t="str">
        <x:v>NRT</x:v>
      </x:c>
      <x:c r="C11" s="366" t="str">
        <x:v>Fila principal e DLQ</x:v>
      </x:c>
      <x:c r="D11" s="366" t="str">
        <x:v>Solicitações</x:v>
      </x:c>
      <x:c r="E11" s="366" t="str">
        <x:v>Sim</x:v>
      </x:c>
      <x:c r="F11" s="366" t="str">
        <x:v>NRT</x:v>
      </x:c>
      <x:c r="G11" s="366" t="str">
        <x:v>Standard; SSE-SQS.</x:v>
      </x:c>
    </x:row>
    <x:row r="12" ht="35" customHeight="1">
      <x:c r="A12" s="366" t="str">
        <x:v>Amazon DynamoDB</x:v>
      </x:c>
      <x:c r="B12" s="366" t="str">
        <x:v>NRT</x:v>
      </x:c>
      <x:c r="C12" s="366" t="str">
        <x:v>Tokens, histórico, indicadores e idempotência</x:v>
      </x:c>
      <x:c r="D12" s="366" t="str">
        <x:v>WRU, RRU, GB e PITR</x:v>
      </x:c>
      <x:c r="E12" s="366" t="str">
        <x:v>Sim</x:v>
      </x:c>
      <x:c r="F12" s="366" t="str">
        <x:v>NRT</x:v>
      </x:c>
      <x:c r="G12" s="366" t="str">
        <x:v>PAY_PER_REQUEST, TTL e PITR.</x:v>
      </x:c>
    </x:row>
    <x:row r="13" ht="35" customHeight="1">
      <x:c r="A13" s="366" t="str">
        <x:v>Amazon API Gateway</x:v>
      </x:c>
      <x:c r="B13" s="366" t="str">
        <x:v>NRT</x:v>
      </x:c>
      <x:c r="C13" s="366" t="str">
        <x:v>HTTP API pública/protegida</x:v>
      </x:c>
      <x:c r="D13" s="366" t="str">
        <x:v>Chamadas e transferência</x:v>
      </x:c>
      <x:c r="E13" s="366" t="str">
        <x:v>Sim</x:v>
      </x:c>
      <x:c r="F13" s="366" t="str">
        <x:v>NRT</x:v>
      </x:c>
      <x:c r="G13" s="366" t="str">
        <x:v>Métricas detalhadas habilitadas.</x:v>
      </x:c>
    </x:row>
    <x:row r="14" ht="35" customHeight="1">
      <x:c r="A14" s="366" t="str">
        <x:v>AWS KMS</x:v>
      </x:c>
      <x:c r="B14" s="366" t="str">
        <x:v>NRT</x:v>
      </x:c>
      <x:c r="C14" s="366" t="str">
        <x:v>Chave HMAC de CPF</x:v>
      </x:c>
      <x:c r="D14" s="366" t="str">
        <x:v>Chave e solicitações</x:v>
      </x:c>
      <x:c r="E14" s="366" t="str">
        <x:v>Sim</x:v>
      </x:c>
      <x:c r="F14" s="366" t="str">
        <x:v>NRT</x:v>
      </x:c>
      <x:c r="G14" s="366" t="str">
        <x:v>GenerateMac por evento/consulta.</x:v>
      </x:c>
    </x:row>
    <x:row r="15" ht="35" customHeight="1">
      <x:c r="A15" s="366" t="str">
        <x:v>Amazon CloudWatch</x:v>
      </x:c>
      <x:c r="B15" s="366" t="str">
        <x:v>Batch/NRT</x:v>
      </x:c>
      <x:c r="C15" s="366" t="str">
        <x:v>Logs, métricas e alarmes</x:v>
      </x:c>
      <x:c r="D15" s="366" t="str">
        <x:v>GB, métricas e alarmes</x:v>
      </x:c>
      <x:c r="E15" s="366" t="str">
        <x:v>Sim</x:v>
      </x:c>
      <x:c r="F15" s="366" t="str">
        <x:v>Batch/NRT</x:v>
      </x:c>
      <x:c r="G15" s="366" t="str">
        <x:v>Retenção de 30 dias.</x:v>
      </x:c>
    </x:row>
    <x:row r="16" ht="35" customHeight="1">
      <x:c r="A16" s="366" t="str">
        <x:v>Amazon SNS</x:v>
      </x:c>
      <x:c r="B16" s="366" t="str">
        <x:v>Batch/NRT</x:v>
      </x:c>
      <x:c r="C16" s="366" t="str">
        <x:v>Tópicos de alerta</x:v>
      </x:c>
      <x:c r="D16" s="366" t="str">
        <x:v>Publicações/entregas</x:v>
      </x:c>
      <x:c r="E16" s="366" t="str">
        <x:v>Sim</x:v>
      </x:c>
      <x:c r="F16" s="366" t="str">
        <x:v>Batch/NRT</x:v>
      </x:c>
      <x:c r="G16" s="366" t="str">
        <x:v>Cenário-base sem falhas.</x:v>
      </x:c>
    </x:row>
    <x:row r="17" ht="35" customHeight="1">
      <x:c r="A17" s="366" t="str">
        <x:v>AWS Secrets Manager</x:v>
      </x:c>
      <x:c r="B17" s="366" t="str">
        <x:v>Batch</x:v>
      </x:c>
      <x:c r="C17" s="366" t="str">
        <x:v>Chave da API de origem</x:v>
      </x:c>
      <x:c r="D17" s="366" t="str">
        <x:v>Segredo e chamadas</x:v>
      </x:c>
      <x:c r="E17" s="366" t="str">
        <x:v>Sim</x:v>
      </x:c>
      <x:c r="F17" s="366" t="str">
        <x:v>Batch</x:v>
      </x:c>
      <x:c r="G17" s="366" t="str">
        <x:v>1 segredo.</x:v>
      </x:c>
    </x:row>
    <x:row r="18" ht="35" customHeight="1">
      <x:c r="A18" s="366" t="str">
        <x:v>AWS IAM</x:v>
      </x:c>
      <x:c r="B18" s="366" t="str">
        <x:v>Batch/NRT</x:v>
      </x:c>
      <x:c r="C18" s="366" t="str">
        <x:v>Perfis e políticas</x:v>
      </x:c>
      <x:c r="D18" s="366" t="str">
        <x:v>Sem cobrança direta</x:v>
      </x:c>
      <x:c r="E18" s="366" t="str">
        <x:v>Sim</x:v>
      </x:c>
      <x:c r="F18" s="366" t="str">
        <x:v>Todos</x:v>
      </x:c>
      <x:c r="G18" s="366" t="str">
        <x:v>Privilégio mínimo por componente.</x:v>
      </x:c>
    </x:row>
    <x:row r="19" ht="35" customHeight="1">
      <x:c r="A19" s="366" t="str">
        <x:v>Terraform OSS</x:v>
      </x:c>
      <x:c r="B19" s="366" t="str">
        <x:v>Todos</x:v>
      </x:c>
      <x:c r="C19" s="366" t="str">
        <x:v>Infraestrutura como código</x:v>
      </x:c>
      <x:c r="D19" s="366" t="str">
        <x:v>Sem licença no modelo</x:v>
      </x:c>
      <x:c r="E19" s="366" t="str">
        <x:v>Sim</x:v>
      </x:c>
      <x:c r="F19" s="366" t="str">
        <x:v>Todos</x:v>
      </x:c>
      <x:c r="G19" s="366" t="str">
        <x:v>Backend em S3.</x:v>
      </x:c>
    </x:row>
    <x:row r="20" ht="35" customHeight="1">
      <x:c r="A20" s="366" t="str">
        <x:v>Docker/PostgreSQL/FastAPI/ngrok</x:v>
      </x:c>
      <x:c r="B20" s="366" t="str">
        <x:v>Apoio Batch</x:v>
      </x:c>
      <x:c r="C20" s="366" t="str">
        <x:v>Fonte externa simulada/local</x:v>
      </x:c>
      <x:c r="D20" s="366" t="str">
        <x:v>Fora do modelo</x:v>
      </x:c>
      <x:c r="E20" s="366" t="str">
        <x:v>Não</x:v>
      </x:c>
      <x:c r="F20" s="366" t="str">
        <x:v>Local</x:v>
      </x:c>
      <x:c r="G20" s="366" t="str">
        <x:v>Hardware, internet e plano pago não incluídos.</x:v>
      </x:c>
    </x:row>
    <x:row r="21" ht="35" customHeight="1">
      <x:c r="A21" s="366" t="str">
        <x:v>Streamlit</x:v>
      </x:c>
      <x:c r="B21" s="366" t="str">
        <x:v>Apoio NRT</x:v>
      </x:c>
      <x:c r="C21" s="366" t="str">
        <x:v>Dashboard local</x:v>
      </x:c>
      <x:c r="D21" s="366" t="str">
        <x:v>Fora do modelo</x:v>
      </x:c>
      <x:c r="E21" s="366" t="str">
        <x:v>Não</x:v>
      </x:c>
      <x:c r="F21" s="366" t="str">
        <x:v>Local</x:v>
      </x:c>
      <x:c r="G21" s="366" t="str">
        <x:v>Custo AWS das consultas está incluído.</x:v>
      </x:c>
    </x:row>
    <x:row r="22" ht="35" customHeight="1">
      <x:c r="A22" s="369" t="str">
        <x:v>Amazon EventBridge</x:v>
      </x:c>
      <x:c r="B22" s="369" t="str">
        <x:v>Conceitual</x:v>
      </x:c>
      <x:c r="C22" s="369" t="str">
        <x:v>Agendamento futuro</x:v>
      </x:c>
      <x:c r="D22" s="369" t="str">
        <x:v>Não provisionado</x:v>
      </x:c>
      <x:c r="E22" s="369" t="str">
        <x:v>Não</x:v>
      </x:c>
      <x:c r="F22" s="369" t="str">
        <x:v>—</x:v>
      </x:c>
      <x:c r="G22" s="369" t="str">
        <x:v>Fora do repositório implementado.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32" hidden="0" customWidth="1"/>
  </x:cols>
  <x:sheetData>
    <x:row r="1" ht="34" customHeight="1">
      <x:c r="A1" s="4" t="str">
        <x:v>Validações do modelo</x:v>
      </x:c>
      <x:c r="B1" s="4" t="str">
        <x:v>Validações do modelo</x:v>
      </x:c>
      <x:c r="C1" s="4" t="str">
        <x:v>Validações do modelo</x:v>
      </x:c>
      <x:c r="D1" s="4" t="str">
        <x:v>Validações do modelo</x:v>
      </x:c>
      <x:c r="E1" s="4" t="str">
        <x:v>Validações do modelo</x:v>
      </x:c>
      <x:c r="F1" s="4" t="str">
        <x:v>Validações do modelo</x:v>
      </x:c>
    </x:row>
    <x:row r="2" ht="30" customHeight="1">
      <x:c r="A2" s="8" t="str">
        <x:v>Checks de reconciliação, monotonicidade dos cenários e consistência das somas.</x:v>
      </x:c>
      <x:c r="B2" s="8" t="str">
        <x:v>Checks de reconciliação, monotonicidade dos cenários e consistência das somas.</x:v>
      </x:c>
      <x:c r="C2" s="8" t="str">
        <x:v>Checks de reconciliação, monotonicidade dos cenários e consistência das somas.</x:v>
      </x:c>
      <x:c r="D2" s="8" t="str">
        <x:v>Checks de reconciliação, monotonicidade dos cenários e consistência das somas.</x:v>
      </x:c>
      <x:c r="E2" s="8" t="str">
        <x:v>Checks de reconciliação, monotonicidade dos cenários e consistência das somas.</x:v>
      </x:c>
      <x:c r="F2" s="8" t="str">
        <x:v>Checks de reconciliação, monotonicidade dos cenários e consistência das somas.</x:v>
      </x:c>
    </x:row>
    <x:row r="3">
      <x:c r="A3" s="337"/>
      <x:c r="B3" s="337"/>
      <x:c r="C3" s="337"/>
      <x:c r="D3" s="337"/>
      <x:c r="E3" s="337"/>
      <x:c r="F3" s="337"/>
    </x:row>
    <x:row r="4">
      <x:c r="A4" s="19" t="str">
        <x:v>Check</x:v>
      </x:c>
      <x:c r="B4" s="20" t="str">
        <x:v>Real</x:v>
      </x:c>
      <x:c r="C4" s="20" t="str">
        <x:v>Esperado</x:v>
      </x:c>
      <x:c r="D4" s="20" t="str">
        <x:v>Diferença</x:v>
      </x:c>
      <x:c r="E4" s="20" t="str">
        <x:v>Status</x:v>
      </x:c>
      <x:c r="F4" s="21" t="str">
        <x:v>Onde revisar</x:v>
      </x:c>
    </x:row>
    <x:row r="5">
      <x:c r="A5" s="415" t="str">
        <x:v>Bronze = Gold + Quarentena</x:v>
      </x:c>
      <x:c r="B5" s="416" t="n">
        <x:f>'Premissas'!B38</x:f>
        <x:v>8287799</x:v>
      </x:c>
      <x:c r="C5" s="416" t="n">
        <x:f>'Premissas'!B39+'Premissas'!B40</x:f>
        <x:v>8287799</x:v>
      </x:c>
      <x:c r="D5" s="416" t="n">
        <x:f>B5-C5</x:f>
        <x:v>0</x:v>
      </x:c>
      <x:c r="E5" s="415" t="str">
        <x:f>IF(ABS(D5)&lt;0.000001,"OK","REVISAR")</x:f>
        <x:v>OK</x:v>
      </x:c>
      <x:c r="F5" s="415" t="str">
        <x:v>Premissas B38:B40</x:v>
      </x:c>
    </x:row>
    <x:row r="6">
      <x:c r="A6" s="415" t="str">
        <x:v>Backfill total = execução + base</x:v>
      </x:c>
      <x:c r="B6" s="416" t="n">
        <x:f>'Batch Backfill'!F29</x:f>
        <x:v>2.7923014167029008</x:v>
      </x:c>
      <x:c r="C6" s="416" t="n">
        <x:f>'Batch Backfill'!F27+'Batch Backfill'!F28</x:f>
        <x:v>2.7923014167029008</x:v>
      </x:c>
      <x:c r="D6" s="416" t="n">
        <x:f>B6-C6</x:f>
        <x:v>0</x:v>
      </x:c>
      <x:c r="E6" s="415" t="str">
        <x:f>IF(ABS(D6)&lt;0.000001,"OK","REVISAR")</x:f>
        <x:v>OK</x:v>
      </x:c>
      <x:c r="F6" s="415" t="str">
        <x:v>Batch Backfill F27:F29</x:v>
      </x:c>
    </x:row>
    <x:row r="7">
      <x:c r="A7" s="415" t="str">
        <x:v>Batch mensal = variável + fixo</x:v>
      </x:c>
      <x:c r="B7" s="416" t="n">
        <x:f>'Batch Diário'!F32</x:f>
        <x:v>27.558632097265825</x:v>
      </x:c>
      <x:c r="C7" s="416" t="n">
        <x:f>'Batch Diário'!F30+'Batch Diário'!F31</x:f>
        <x:v>27.558632097265825</x:v>
      </x:c>
      <x:c r="D7" s="416" t="n">
        <x:f>B7-C7</x:f>
        <x:v>0</x:v>
      </x:c>
      <x:c r="E7" s="415" t="str">
        <x:f>IF(ABS(D7)&lt;0.000001,"OK","REVISAR")</x:f>
        <x:v>OK</x:v>
      </x:c>
      <x:c r="F7" s="415" t="str">
        <x:v>Batch Diário F30:F32</x:v>
      </x:c>
    </x:row>
    <x:row r="8">
      <x:c r="A8" s="415" t="str">
        <x:v>NRT Normal = soma dos componentes</x:v>
      </x:c>
      <x:c r="B8" s="416" t="n">
        <x:f>'NRT Cenários'!B28</x:f>
        <x:v>11.660847269353027</x:v>
      </x:c>
      <x:c r="C8" s="416" t="n">
        <x:f>SUM('NRT Cenários'!B5:B26)</x:f>
        <x:v>11.660847269353027</x:v>
      </x:c>
      <x:c r="D8" s="416" t="n">
        <x:f>B8-C8</x:f>
        <x:v>0</x:v>
      </x:c>
      <x:c r="E8" s="415" t="str">
        <x:f>IF(ABS(D8)&lt;0.000001,"OK","REVISAR")</x:f>
        <x:v>OK</x:v>
      </x:c>
      <x:c r="F8" s="415" t="str">
        <x:v>NRT Cenários B5:B28</x:v>
      </x:c>
    </x:row>
    <x:row r="9">
      <x:c r="A9" s="415" t="str">
        <x:v>NRT Alto = soma dos componentes</x:v>
      </x:c>
      <x:c r="B9" s="416" t="n">
        <x:f>'NRT Cenários'!C28</x:f>
        <x:v>17.78857915567505</x:v>
      </x:c>
      <x:c r="C9" s="416" t="n">
        <x:f>SUM('NRT Cenários'!C5:C26)</x:f>
        <x:v>17.78857915567505</x:v>
      </x:c>
      <x:c r="D9" s="416" t="n">
        <x:f>B9-C9</x:f>
        <x:v>0</x:v>
      </x:c>
      <x:c r="E9" s="415" t="str">
        <x:f>IF(ABS(D9)&lt;0.000001,"OK","REVISAR")</x:f>
        <x:v>OK</x:v>
      </x:c>
      <x:c r="F9" s="415" t="str">
        <x:v>NRT Cenários C5:C28</x:v>
      </x:c>
    </x:row>
    <x:row r="10">
      <x:c r="A10" s="415" t="str">
        <x:v>NRT Pico = soma dos componentes</x:v>
      </x:c>
      <x:c r="B10" s="416" t="n">
        <x:f>'NRT Cenários'!D28</x:f>
        <x:v>25.141857419261473</x:v>
      </x:c>
      <x:c r="C10" s="416" t="n">
        <x:f>SUM('NRT Cenários'!D5:D26)</x:f>
        <x:v>25.141857419261473</x:v>
      </x:c>
      <x:c r="D10" s="416" t="n">
        <x:f>B10-C10</x:f>
        <x:v>0</x:v>
      </x:c>
      <x:c r="E10" s="415" t="str">
        <x:f>IF(ABS(D10)&lt;0.000001,"OK","REVISAR")</x:f>
        <x:v>OK</x:v>
      </x:c>
      <x:c r="F10" s="415" t="str">
        <x:v>NRT Cenários D5:D28</x:v>
      </x:c>
    </x:row>
    <x:row r="11">
      <x:c r="A11" s="415" t="str">
        <x:v>Volumes NRT crescem Normal &lt; Alto &lt; Pico</x:v>
      </x:c>
      <x:c r="B11" s="416" t="n">
        <x:f>IF(AND('Premissas'!I6&lt;'Premissas'!J6,'Premissas'!J6&lt;'Premissas'!K6),1,0)</x:f>
        <x:v>1</x:v>
      </x:c>
      <x:c r="C11" s="416" t="n">
        <x:v>1</x:v>
      </x:c>
      <x:c r="D11" s="416" t="n">
        <x:f>B11-C11</x:f>
        <x:v>0</x:v>
      </x:c>
      <x:c r="E11" s="415" t="str">
        <x:f>IF(ABS(D11)&lt;0.000001,"OK","REVISAR")</x:f>
        <x:v>OK</x:v>
      </x:c>
      <x:c r="F11" s="415" t="str">
        <x:v>Premissas I6:K6</x:v>
      </x:c>
    </x:row>
    <x:row r="12">
      <x:c r="A12" s="337"/>
      <x:c r="B12" s="337"/>
      <x:c r="C12" s="337"/>
      <x:c r="D12" s="337"/>
      <x:c r="E12" s="337"/>
      <x:c r="F12" s="337"/>
    </x:row>
    <x:row r="13">
      <x:c r="A13" s="336" t="str">
        <x:v>STATUS DO MODELO</x:v>
      </x:c>
      <x:c r="B13" s="336"/>
      <x:c r="C13" s="336"/>
      <x:c r="D13" s="336"/>
      <x:c r="E13" s="336" t="str">
        <x:f>IF(AND(E5="OK",E6="OK",E7="OK",E8="OK",E9="OK",E10="OK",E11="OK"),"PASS","FAIL")</x:f>
        <x:v>PASS</x:v>
      </x:c>
      <x:c r="F13" s="336"/>
    </x:row>
  </x:sheetData>
  <x:mergeCells>
    <x:mergeCell ref="A1:F1"/>
    <x:mergeCell ref="A2:F2"/>
    <x:mergeCell ref="A13:D13"/>
    <x:mergeCell ref="E13:F13"/>
  </x:mergeCells>
  <x:conditionalFormatting sqref="E5:E11">
    <x:cfRule type="containsText" dxfId="0" priority="1" operator="containsText" text="OK"/>
    <x:cfRule type="containsText" dxfId="1" priority="2" operator="containsText" text="REVISAR"/>
  </x:conditionalFormatting>
  <x:conditionalFormatting sqref="E13:F13">
    <x:cfRule type="containsText" dxfId="2" priority="3" operator="containsText" text="PASS"/>
    <x:cfRule type="containsText" dxfId="3" priority="4" operator="containsText" text="FAIL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8" hidden="0" customWidth="1"/>
    <x:col min="3" max="3" width="70" hidden="0" customWidth="1"/>
    <x:col min="4" max="4" width="15" hidden="0" customWidth="1"/>
    <x:col min="5" max="5" width="37" hidden="0" customWidth="1"/>
    <x:col min="6" max="6" width="35" hidden="0" customWidth="1"/>
  </x:cols>
  <x:sheetData>
    <x:row r="1" ht="34" customHeight="1">
      <x:c r="A1" s="4" t="str">
        <x:v>Fontes e rastreabilidade</x:v>
      </x:c>
      <x:c r="B1" s="4" t="str">
        <x:v>Fontes e rastreabilidade</x:v>
      </x:c>
      <x:c r="C1" s="4" t="str">
        <x:v>Fontes e rastreabilidade</x:v>
      </x:c>
      <x:c r="D1" s="4" t="str">
        <x:v>Fontes e rastreabilidade</x:v>
      </x:c>
      <x:c r="E1" s="4" t="str">
        <x:v>Fontes e rastreabilidade</x:v>
      </x:c>
      <x:c r="F1" s="4" t="str">
        <x:v>Fontes e rastreabilidade</x:v>
      </x:c>
    </x:row>
    <x:row r="2" ht="30" customHeight="1">
      <x:c r="A2" s="8" t="str">
        <x:v>URLs oficiais de preços e referências de volume. Valores podem mudar; atualize a aba Premissas quando necessário.</x:v>
      </x:c>
      <x:c r="B2" s="8" t="str">
        <x:v>URLs oficiais de preços e referências de volume. Valores podem mudar; atualize a aba Premissas quando necessário.</x:v>
      </x:c>
      <x:c r="C2" s="8" t="str">
        <x:v>URLs oficiais de preços e referências de volume. Valores podem mudar; atualize a aba Premissas quando necessário.</x:v>
      </x:c>
      <x:c r="D2" s="8" t="str">
        <x:v>URLs oficiais de preços e referências de volume. Valores podem mudar; atualize a aba Premissas quando necessário.</x:v>
      </x:c>
      <x:c r="E2" s="8" t="str">
        <x:v>URLs oficiais de preços e referências de volume. Valores podem mudar; atualize a aba Premissas quando necessário.</x:v>
      </x:c>
      <x:c r="F2" s="8" t="str">
        <x:v>URLs oficiais de preços e referências de volume. Valores podem mudar; atualize a aba Premissas quando necessário.</x:v>
      </x:c>
    </x:row>
    <x:row r="3">
      <x:c r="A3" s="337"/>
      <x:c r="B3" s="337"/>
      <x:c r="C3" s="337"/>
      <x:c r="D3" s="337"/>
      <x:c r="E3" s="337"/>
      <x:c r="F3" s="337"/>
    </x:row>
    <x:row r="4">
      <x:c r="A4" s="19" t="str">
        <x:v>ID</x:v>
      </x:c>
      <x:c r="B4" s="20" t="str">
        <x:v>Serviço/assunto</x:v>
      </x:c>
      <x:c r="C4" s="20" t="str">
        <x:v>URL</x:v>
      </x:c>
      <x:c r="D4" s="20" t="str">
        <x:v>Data de acesso</x:v>
      </x:c>
      <x:c r="E4" s="20" t="str">
        <x:v>Valor usado</x:v>
      </x:c>
      <x:c r="F4" s="21" t="str">
        <x:v>Observação</x:v>
      </x:c>
    </x:row>
    <x:row r="5" ht="36" customHeight="1">
      <x:c r="A5" s="363" t="str">
        <x:v>AWS-S3</x:v>
      </x:c>
      <x:c r="B5" s="363" t="str">
        <x:v>Amazon S3</x:v>
      </x:c>
      <x:c r="C5" s="363" t="str">
        <x:v>https://aws.amazon.com/s3/pricing/</x:v>
      </x:c>
      <x:c r="D5" s="363" t="str">
        <x:v>2026-08-06</x:v>
      </x:c>
      <x:c r="E5" s="363" t="str">
        <x:v>0,023/GB-mês; PUT 0,005/mil; GET 0,0004/mil</x:v>
      </x:c>
      <x:c r="F5" s="363" t="str">
        <x:v>us-east-1</x:v>
      </x:c>
    </x:row>
    <x:row r="6" ht="36" customHeight="1">
      <x:c r="A6" s="366" t="str">
        <x:v>AWS-GLUE</x:v>
      </x:c>
      <x:c r="B6" s="366" t="str">
        <x:v>AWS Glue</x:v>
      </x:c>
      <x:c r="C6" s="366" t="str">
        <x:v>https://aws.amazon.com/glue/pricing/</x:v>
      </x:c>
      <x:c r="D6" s="366" t="str">
        <x:v>2026-08-06</x:v>
      </x:c>
      <x:c r="E6" s="366" t="str">
        <x:v>0,44/DPU-h</x:v>
      </x:c>
      <x:c r="F6" s="366" t="str">
        <x:v>ETL e Crawler</x:v>
      </x:c>
    </x:row>
    <x:row r="7" ht="36" customHeight="1">
      <x:c r="A7" s="366" t="str">
        <x:v>AWS-ATHENA</x:v>
      </x:c>
      <x:c r="B7" s="366" t="str">
        <x:v>Amazon Athena</x:v>
      </x:c>
      <x:c r="C7" s="366" t="str">
        <x:v>https://aws.amazon.com/athena/pricing/</x:v>
      </x:c>
      <x:c r="D7" s="366" t="str">
        <x:v>2026-08-06</x:v>
      </x:c>
      <x:c r="E7" s="366" t="str">
        <x:v>5/TB lido</x:v>
      </x:c>
      <x:c r="F7" s="366" t="str">
        <x:v>SQL sob demanda</x:v>
      </x:c>
    </x:row>
    <x:row r="8" ht="36" customHeight="1">
      <x:c r="A8" s="366" t="str">
        <x:v>AWS-LAMBDA</x:v>
      </x:c>
      <x:c r="B8" s="366" t="str">
        <x:v>AWS Lambda</x:v>
      </x:c>
      <x:c r="C8" s="366" t="str">
        <x:v>https://aws.amazon.com/lambda/pricing/</x:v>
      </x:c>
      <x:c r="D8" s="366" t="str">
        <x:v>2026-08-06</x:v>
      </x:c>
      <x:c r="E8" s="366" t="str">
        <x:v>ARM 0,0000133334/GB-s; 0,20/mi req.</x:v>
      </x:c>
      <x:c r="F8" s="366" t="str">
        <x:v>Sem Free Tier</x:v>
      </x:c>
    </x:row>
    <x:row r="9" ht="36" customHeight="1">
      <x:c r="A9" s="366" t="str">
        <x:v>AWS-SFN</x:v>
      </x:c>
      <x:c r="B9" s="366" t="str">
        <x:v>AWS Step Functions</x:v>
      </x:c>
      <x:c r="C9" s="366" t="str">
        <x:v>https://aws.amazon.com/step-functions/pricing/</x:v>
      </x:c>
      <x:c r="D9" s="366" t="str">
        <x:v>2026-08-06</x:v>
      </x:c>
      <x:c r="E9" s="366" t="str">
        <x:v>0,000025/transição</x:v>
      </x:c>
      <x:c r="F9" s="366" t="str">
        <x:v>Workflow Standard</x:v>
      </x:c>
    </x:row>
    <x:row r="10" ht="36" customHeight="1">
      <x:c r="A10" s="366" t="str">
        <x:v>AWS-SECRETS</x:v>
      </x:c>
      <x:c r="B10" s="366" t="str">
        <x:v>AWS Secrets Manager</x:v>
      </x:c>
      <x:c r="C10" s="366" t="str">
        <x:v>https://aws.amazon.com/secrets-manager/pricing/</x:v>
      </x:c>
      <x:c r="D10" s="366" t="str">
        <x:v>2026-08-06</x:v>
      </x:c>
      <x:c r="E10" s="366" t="str">
        <x:v>0,40/segredo-mês; 0,05/10 mil req.</x:v>
      </x:c>
      <x:c r="F10" s="366" t="str"/>
    </x:row>
    <x:row r="11" ht="36" customHeight="1">
      <x:c r="A11" s="366" t="str">
        <x:v>AWS-CW</x:v>
      </x:c>
      <x:c r="B11" s="366" t="str">
        <x:v>Amazon CloudWatch</x:v>
      </x:c>
      <x:c r="C11" s="366" t="str">
        <x:v>https://aws.amazon.com/cloudwatch/pricing/</x:v>
      </x:c>
      <x:c r="D11" s="366" t="str">
        <x:v>2026-08-06</x:v>
      </x:c>
      <x:c r="E11" s="366" t="str">
        <x:v>Logs 0,50/GB; alarme 0,10; métrica 0,30</x:v>
      </x:c>
      <x:c r="F11" s="366" t="str">
        <x:v>Primeira faixa</x:v>
      </x:c>
    </x:row>
    <x:row r="12" ht="36" customHeight="1">
      <x:c r="A12" s="366" t="str">
        <x:v>AWS-SQS</x:v>
      </x:c>
      <x:c r="B12" s="366" t="str">
        <x:v>Amazon SQS</x:v>
      </x:c>
      <x:c r="C12" s="366" t="str">
        <x:v>https://aws.amazon.com/sqs/pricing/</x:v>
      </x:c>
      <x:c r="D12" s="366" t="str">
        <x:v>2026-08-06</x:v>
      </x:c>
      <x:c r="E12" s="366" t="str">
        <x:v>0,40/mi req.</x:v>
      </x:c>
      <x:c r="F12" s="366" t="str">
        <x:v>Standard</x:v>
      </x:c>
    </x:row>
    <x:row r="13" ht="36" customHeight="1">
      <x:c r="A13" s="366" t="str">
        <x:v>AWS-DDB</x:v>
      </x:c>
      <x:c r="B13" s="366" t="str">
        <x:v>Amazon DynamoDB</x:v>
      </x:c>
      <x:c r="C13" s="366" t="str">
        <x:v>https://aws.amazon.com/dynamodb/pricing/</x:v>
      </x:c>
      <x:c r="D13" s="366" t="str">
        <x:v>2026-08-06</x:v>
      </x:c>
      <x:c r="E13" s="366" t="str">
        <x:v>0,625/mi WRU; 0,125/mi RRU; 0,25/GB-mês</x:v>
      </x:c>
      <x:c r="F13" s="366" t="str">
        <x:v>On-demand Standard</x:v>
      </x:c>
    </x:row>
    <x:row r="14" ht="36" customHeight="1">
      <x:c r="A14" s="366" t="str">
        <x:v>AWS-DDB-TXN</x:v>
      </x:c>
      <x:c r="B14" s="366" t="str">
        <x:v>DynamoDB transactions</x:v>
      </x:c>
      <x:c r="C14" s="366" t="str">
        <x:v>https://docs.aws.amazon.com/amazondynamodb/latest/developerguide/read-write-operations.html</x:v>
      </x:c>
      <x:c r="D14" s="366" t="str">
        <x:v>2026-08-06</x:v>
      </x:c>
      <x:c r="E14" s="366" t="str">
        <x:v>2 WRU por escrita transacional ≤1 KB</x:v>
      </x:c>
      <x:c r="F14" s="366" t="str">
        <x:v>Base do Processor NRT</x:v>
      </x:c>
    </x:row>
    <x:row r="15" ht="36" customHeight="1">
      <x:c r="A15" s="366" t="str">
        <x:v>AWS-DDB-PITR</x:v>
      </x:c>
      <x:c r="B15" s="366" t="str">
        <x:v>DynamoDB PITR</x:v>
      </x:c>
      <x:c r="C15" s="366" t="str">
        <x:v>https://docs.aws.amazon.com/amazondynamodb/latest/developerguide/DynamodbDisasterRecoveryStrategy.html</x:v>
      </x:c>
      <x:c r="D15" s="366" t="str">
        <x:v>2026-08-06</x:v>
      </x:c>
      <x:c r="E15" s="366" t="str">
        <x:v>0,20/GB-mês</x:v>
      </x:c>
      <x:c r="F15" s="366" t="str">
        <x:v>4 tabelas</x:v>
      </x:c>
    </x:row>
    <x:row r="16" ht="36" customHeight="1">
      <x:c r="A16" s="366" t="str">
        <x:v>AWS-APIGW</x:v>
      </x:c>
      <x:c r="B16" s="366" t="str">
        <x:v>Amazon API Gateway</x:v>
      </x:c>
      <x:c r="C16" s="366" t="str">
        <x:v>https://aws.amazon.com/api-gateway/pricing/</x:v>
      </x:c>
      <x:c r="D16" s="366" t="str">
        <x:v>2026-08-06</x:v>
      </x:c>
      <x:c r="E16" s="366" t="str">
        <x:v>HTTP API 1,00/mi req.</x:v>
      </x:c>
      <x:c r="F16" s="366" t="str">
        <x:v>Transferência pode ser adicional</x:v>
      </x:c>
    </x:row>
    <x:row r="17" ht="36" customHeight="1">
      <x:c r="A17" s="366" t="str">
        <x:v>AWS-KMS</x:v>
      </x:c>
      <x:c r="B17" s="366" t="str">
        <x:v>AWS KMS</x:v>
      </x:c>
      <x:c r="C17" s="366" t="str">
        <x:v>https://aws.amazon.com/kms/pricing/</x:v>
      </x:c>
      <x:c r="D17" s="366" t="str">
        <x:v>2026-08-06</x:v>
      </x:c>
      <x:c r="E17" s="366" t="str">
        <x:v>1/chave-mês; 0,03/10 mil req.</x:v>
      </x:c>
      <x:c r="F17" s="366" t="str">
        <x:v>HMAC-SHA-256</x:v>
      </x:c>
    </x:row>
    <x:row r="18" ht="36" customHeight="1">
      <x:c r="A18" s="366" t="str">
        <x:v>AWS-SNS</x:v>
      </x:c>
      <x:c r="B18" s="366" t="str">
        <x:v>Amazon SNS</x:v>
      </x:c>
      <x:c r="C18" s="366" t="str">
        <x:v>https://aws.amazon.com/sns/pricing/</x:v>
      </x:c>
      <x:c r="D18" s="366" t="str">
        <x:v>2026-08-06</x:v>
      </x:c>
      <x:c r="E18" s="366" t="str">
        <x:v>0,50/mi req.</x:v>
      </x:c>
      <x:c r="F18" s="366" t="str">
        <x:v>Entregas podem ter preços próprios</x:v>
      </x:c>
    </x:row>
    <x:row r="19" ht="36" customHeight="1">
      <x:c r="A19" s="366" t="str">
        <x:v>MS-DENGUE</x:v>
      </x:c>
      <x:c r="B19" s="366" t="str">
        <x:v>Sazonalidade da dengue</x:v>
      </x:c>
      <x:c r="C19" s="366" t="str">
        <x:v>https://www.gov.br/saude/pt-br/assuntos/saude-de-a-a-z/d/dengue</x:v>
      </x:c>
      <x:c r="D19" s="366" t="str">
        <x:v>2026-08-06</x:v>
      </x:c>
      <x:c r="E19" s="366" t="str">
        <x:v>Aumento sazonal principalmente entre outubro e maio</x:v>
      </x:c>
      <x:c r="F19" s="366" t="str">
        <x:v>Ministério da Saúde</x:v>
      </x:c>
    </x:row>
    <x:row r="20" ht="36" customHeight="1">
      <x:c r="A20" s="366" t="str">
        <x:v>PICO-43K</x:v>
      </x:c>
      <x:c r="B20" s="366" t="str">
        <x:v>43.134 casos prováveis em 24 h</x:v>
      </x:c>
      <x:c r="C20" s="366" t="str">
        <x:v>https://www.poder360.com.br/saude/brasil-registra-43-134-casos-provaveis-de-dengue-em-1-dia/</x:v>
      </x:c>
      <x:c r="D20" s="366" t="str">
        <x:v>2026-08-06</x:v>
      </x:c>
      <x:c r="E20" s="366" t="str">
        <x:v>43.000 eventos/dia no cenário Pico</x:v>
      </x:c>
      <x:c r="F20" s="366" t="str">
        <x:v>Referência fornecida pelo usuário</x:v>
      </x:c>
    </x:row>
    <x:row r="21" ht="36" customHeight="1">
      <x:c r="A21" s="369" t="str">
        <x:v>REPO</x:v>
      </x:c>
      <x:c r="B21" s="369" t="str">
        <x:v>Repositório BAIP</x:v>
      </x:c>
      <x:c r="C21" s="369" t="str">
        <x:v>https://github.com/lleonardo-p/data_masters</x:v>
      </x:c>
      <x:c r="D21" s="369" t="str">
        <x:v>2026-08-06</x:v>
      </x:c>
      <x:c r="E21" s="369" t="str">
        <x:v>Configuração Terraform e volumes reconciliados</x:v>
      </x:c>
      <x:c r="F21" s="369" t="str">
        <x:v>Commit analisado: 7bba7686</x:v>
      </x:c>
    </x:row>
  </x:sheetData>
  <x:mergeCells>
    <x:mergeCell ref="A1:F1"/>
    <x:mergeCell ref="A2:F2"/>
  </x:mergeCells>
  <x:pageMargins left="0.7" right="0.7" top="0.75" bottom="0.75" header="0.3" footer="0.3"/>
</x:worksheet>
</file>